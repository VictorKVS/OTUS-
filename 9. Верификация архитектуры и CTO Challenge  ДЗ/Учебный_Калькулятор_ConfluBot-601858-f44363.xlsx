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Расчет проекта" sheetId="1" r:id="rId5"/>
    <sheet state="visible" name="2. Расчет трудозатрат" sheetId="2" r:id="rId6"/>
    <sheet state="visible" name="3. Скоринг" sheetId="3" r:id="rId7"/>
  </sheets>
  <definedNames>
    <definedName name="profit_margin2nds">'1. Расчет проекта'!$I$57</definedName>
    <definedName name="Принятое_решение_по_риску">'2. Расчет трудозатрат'!$F$66:$F$74</definedName>
    <definedName name="Project_name">'1. Расчет проекта'!$B$7</definedName>
    <definedName name="participants">'1. Расчет проекта'!$B$4</definedName>
    <definedName name="profit_margin1nds">'1. Расчет проекта'!$I$56</definedName>
    <definedName name="Увеличение_прямых_расходов">#REF!</definedName>
    <definedName name="margin">'1. Расчет проекта'!$K$46</definedName>
    <definedName name="cost2">'1. Расчет проекта'!$I$40</definedName>
    <definedName name="cost_1">'1. Расчет проекта'!$K$26</definedName>
    <definedName name="date">'1. Расчет проекта'!$B$2</definedName>
    <definedName name="cost_3">'1. Расчет проекта'!$I$45</definedName>
    <definedName name="BaseRisk">'1. Расчет проекта'!$D$18</definedName>
    <definedName name="price_1">'1. Расчет проекта'!$I$50</definedName>
    <definedName name="PM">'1. Расчет проекта'!$D$16</definedName>
    <definedName name="Решение_по_риску">'2. Расчет трудозатрат'!$F$66:$F$74</definedName>
    <definedName name="duration_day">'1. Расчет проекта'!$E$15</definedName>
    <definedName name="duration_month">'1. Расчет проекта'!$D$15</definedName>
    <definedName name="PMHours">'1. Расчет проекта'!$J$24</definedName>
    <definedName name="cost1">'1. Расчет проекта'!$K$26</definedName>
    <definedName name="profit_margin2">'1. Расчет проекта'!$I$49</definedName>
    <definedName name="Увеличение_трудозатрат">'2. Расчет трудозатрат'!$D$66:$D$74</definedName>
    <definedName name="FG">#REF!</definedName>
    <definedName name="cost_3nds">'1. Расчет проекта'!$I$53</definedName>
    <definedName name="ФГ">#REF!</definedName>
    <definedName name="Исполнитель">'2. Расчет трудозатрат'!$E$66:$E$74</definedName>
    <definedName name="cost_2nds">'1. Расчет проекта'!$I$41</definedName>
    <definedName name="PM_Org">#REF!</definedName>
    <definedName name="T_Risks">'2. Расчет трудозатрат'!$A$66:$F$74</definedName>
    <definedName name="PA_name">'1. Расчет проекта'!$B$3</definedName>
    <definedName name="profit_margin1">'1. Расчет проекта'!$I$48</definedName>
    <definedName name="cost_1nds">'1. Расчет проекта'!$K$30</definedName>
    <definedName name="Сustomer">'1. Расчет проекта'!$B$6</definedName>
    <definedName name="URL">'1. Расчет проекта'!$B$8</definedName>
    <definedName name="price_1nds">'1. Расчет проекта'!$I$58</definedName>
    <definedName name="T_Rates_ГИП">'1. Расчет проекта'!$K$28</definedName>
    <definedName hidden="1" localSheetId="1" name="_xlnm._FilterDatabase">'2. Расчет трудозатрат'!$A$3:$AI$74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4">
      <text>
        <t xml:space="preserve">Не включает в себя СПП</t>
      </text>
    </comment>
    <comment authorId="0" ref="G37">
      <text>
        <t xml:space="preserve">Не является расчетом поставки. Вносятся только затраты на расходные материалы</t>
      </text>
    </comment>
    <comment authorId="0" ref="G44">
      <text>
        <t xml:space="preserve">Расчет стоимости является справочной информацией.
SS добавляет в расчет, либо корректирует проставленные по умолчанию значения маржи, внутренних корректировок, СПП.</t>
      </text>
    </comment>
    <comment authorId="0" ref="G52">
      <text>
        <t xml:space="preserve">Расчет стоимости является справочной информацией.
SS добавляет в расчет, либо корректирует проставленные по умолчанию значения маржи, внутренних корректировок, СПП.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остаток, после вычитания доли верхних пунктов
деление часов по разделам ETS</t>
      </text>
    </comment>
    <comment authorId="0" ref="I7">
      <text>
        <t xml:space="preserve">не заполняется, так как у архитектора одна строка</t>
      </text>
    </comment>
    <comment authorId="0" ref="I12">
      <text>
        <t xml:space="preserve">остаток, после вычитания доли верхних пунктов
деление часов по разделам ETS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Автор:
перенести в красную зону
</t>
      </text>
    </comment>
  </commentList>
</comments>
</file>

<file path=xl/sharedStrings.xml><?xml version="1.0" encoding="utf-8"?>
<sst xmlns="http://schemas.openxmlformats.org/spreadsheetml/2006/main" count="459" uniqueCount="276">
  <si>
    <t>Данные по проекту</t>
  </si>
  <si>
    <t>Стоимость по исполнителям</t>
  </si>
  <si>
    <t>Дата</t>
  </si>
  <si>
    <t>ГГГГ.ММ.ДД</t>
  </si>
  <si>
    <t>Роль</t>
  </si>
  <si>
    <t>Стоимость 1 часа без НДС</t>
  </si>
  <si>
    <t>Кол-во часов</t>
  </si>
  <si>
    <t>Стоимость</t>
  </si>
  <si>
    <t>Стоимость с учётом 5.Cкоринг</t>
  </si>
  <si>
    <t>Контрольные значения</t>
  </si>
  <si>
    <t>Примечание (для учёта в оценке)</t>
  </si>
  <si>
    <t>лид / лид / Ещё чей-то лид / Своя продажа</t>
  </si>
  <si>
    <t>Исполнители</t>
  </si>
  <si>
    <t>по исполнителям</t>
  </si>
  <si>
    <t>Кто готовил калькулятор</t>
  </si>
  <si>
    <t>PM</t>
  </si>
  <si>
    <t>чистая</t>
  </si>
  <si>
    <t>Architect</t>
  </si>
  <si>
    <t>Со скорингом</t>
  </si>
  <si>
    <t>Заказчик</t>
  </si>
  <si>
    <t>Очень богатая компания</t>
  </si>
  <si>
    <t>Наименование проекта</t>
  </si>
  <si>
    <t>Очень большой РАГ</t>
  </si>
  <si>
    <t>Ссылка на сделку/заявку в CRM</t>
  </si>
  <si>
    <t>amo-crm</t>
  </si>
  <si>
    <t>Срок действия расчета, мес</t>
  </si>
  <si>
    <t>По истечении срока действия расчет должен быть актуализирован.</t>
  </si>
  <si>
    <t>Управление</t>
  </si>
  <si>
    <t>Длительность проекта (8.КП)</t>
  </si>
  <si>
    <t>В часах без потерь</t>
  </si>
  <si>
    <t>В часах</t>
  </si>
  <si>
    <t>В месяцах</t>
  </si>
  <si>
    <t>В раб.днях</t>
  </si>
  <si>
    <t xml:space="preserve"> (! не равна трудоёмкости)</t>
  </si>
  <si>
    <t>Управление проектом (3. Уровень обслуживания)</t>
  </si>
  <si>
    <t>РП (Обычный проект)</t>
  </si>
  <si>
    <t>Управление разработкой Команда проекта (3. Уровень обслуживания)</t>
  </si>
  <si>
    <t>Team3 (Обычный проект от 2Dev+1DS или 2DS+1Dev)</t>
  </si>
  <si>
    <t>Уровень базового риска (5. Скоринг)</t>
  </si>
  <si>
    <t>* базовые часы РП (3. Уровень обслуживания), для справки</t>
  </si>
  <si>
    <t>Руководство проектом</t>
  </si>
  <si>
    <t>прирост стоимости по управлению</t>
  </si>
  <si>
    <t>Архитектурный надзор</t>
  </si>
  <si>
    <t>Тимлидерство</t>
  </si>
  <si>
    <t>ИИ Лидерство</t>
  </si>
  <si>
    <r>
      <rPr>
        <rFont val="Calibri"/>
        <b/>
        <color theme="1"/>
        <sz val="11.0"/>
      </rPr>
      <t xml:space="preserve">Итого стоимость (с учётом данных из таблицы ниже "Прямые расходы") </t>
    </r>
    <r>
      <rPr>
        <rFont val="Calibri"/>
        <b/>
        <color rgb="FFFF0000"/>
        <sz val="11.0"/>
      </rPr>
      <t>без НДС</t>
    </r>
  </si>
  <si>
    <t>доля включённых в стоимость рисков и прямых затрат ОТ конечной суммы (уже с учётом скоринга)</t>
  </si>
  <si>
    <t>Добавляет 5.Скоринг</t>
  </si>
  <si>
    <t>n/a</t>
  </si>
  <si>
    <t>* процент от конечной стоимсоти (считается делением в обратную сторону, относительно наложения скоринга, поэтому меньше его)</t>
  </si>
  <si>
    <t xml:space="preserve">Внимание: Заполнять в шаблоне требуется поля с желтой заливкой. </t>
  </si>
  <si>
    <t>Добавляет 2.Расчёт трудозатрат (Идентифицированные риски:)</t>
  </si>
  <si>
    <t>включено</t>
  </si>
  <si>
    <t>Поля с серой заливкой - справочные, либо рассчитываются автоматически по формулам</t>
  </si>
  <si>
    <t>В том числе прямые расходы:</t>
  </si>
  <si>
    <t>Добавляет 1.Расчёт проекта (Прямые расходы без НДС)</t>
  </si>
  <si>
    <r>
      <rPr>
        <rFont val="Calibri"/>
        <b/>
        <color rgb="FF999999"/>
        <sz val="11.0"/>
      </rPr>
      <t>Итого стоимость</t>
    </r>
    <r>
      <rPr>
        <rFont val="Calibri"/>
        <b/>
        <color rgb="FF999999"/>
        <sz val="11.0"/>
      </rPr>
      <t xml:space="preserve"> с НДС</t>
    </r>
    <r>
      <rPr>
        <rFont val="Calibri"/>
        <b/>
        <color rgb="FF999999"/>
        <sz val="11.0"/>
      </rPr>
      <t xml:space="preserve"> (справочно)</t>
    </r>
  </si>
  <si>
    <t>Прямые расходы</t>
  </si>
  <si>
    <t xml:space="preserve">Наименование </t>
  </si>
  <si>
    <t>Сумма</t>
  </si>
  <si>
    <t>Командировочные расходы</t>
  </si>
  <si>
    <t>Прочие прямые расходы</t>
  </si>
  <si>
    <t>Себестоимость лицензий</t>
  </si>
  <si>
    <t>Себестоимость хостинга (в год)</t>
  </si>
  <si>
    <r>
      <rPr>
        <rFont val="Calibri"/>
        <b/>
        <color theme="1"/>
        <sz val="11.0"/>
      </rPr>
      <t>Итого прямые расходы</t>
    </r>
    <r>
      <rPr>
        <rFont val="Calibri"/>
        <b/>
        <color rgb="FFFF0000"/>
        <sz val="11.0"/>
      </rPr>
      <t xml:space="preserve"> без НДС</t>
    </r>
  </si>
  <si>
    <t>cost2</t>
  </si>
  <si>
    <r>
      <rPr>
        <rFont val="Calibri"/>
        <b/>
        <color rgb="FF000000"/>
        <sz val="11.0"/>
      </rPr>
      <t>Итого прямые расходы</t>
    </r>
    <r>
      <rPr>
        <rFont val="Calibri"/>
        <b/>
        <color rgb="FFFF0000"/>
        <sz val="11.0"/>
      </rPr>
      <t xml:space="preserve"> c НДС</t>
    </r>
  </si>
  <si>
    <t>cost2nds</t>
  </si>
  <si>
    <r>
      <rPr>
        <rFont val="Calibri"/>
        <b/>
        <color theme="1"/>
        <sz val="16.0"/>
      </rPr>
      <t xml:space="preserve">C. Расчет стоимости </t>
    </r>
    <r>
      <rPr>
        <rFont val="Calibri"/>
        <b/>
        <color rgb="FFFF0000"/>
        <sz val="16.0"/>
      </rPr>
      <t>без НДС</t>
    </r>
  </si>
  <si>
    <t>Всего расходов</t>
  </si>
  <si>
    <t>Маржа:</t>
  </si>
  <si>
    <t>Коэффициент маржинальности</t>
  </si>
  <si>
    <t>Отчисления в риск фонд</t>
  </si>
  <si>
    <t>Грязная маржа проекта</t>
  </si>
  <si>
    <t>Чистая маржа проекта</t>
  </si>
  <si>
    <r>
      <rPr>
        <rFont val="Calibri"/>
        <b/>
        <color theme="1"/>
        <sz val="11.0"/>
      </rPr>
      <t xml:space="preserve">Итого стоимость для заказчика </t>
    </r>
    <r>
      <rPr>
        <rFont val="Calibri"/>
        <b/>
        <color rgb="FFFF0000"/>
        <sz val="11.0"/>
      </rPr>
      <t>без НДС</t>
    </r>
  </si>
  <si>
    <r>
      <rPr>
        <rFont val="Calibri"/>
        <b/>
        <color theme="1"/>
        <sz val="16.0"/>
      </rPr>
      <t>D. Расчет стоимости</t>
    </r>
    <r>
      <rPr>
        <rFont val="Calibri"/>
        <b/>
        <color theme="0"/>
        <sz val="16.0"/>
      </rPr>
      <t xml:space="preserve"> </t>
    </r>
    <r>
      <rPr>
        <rFont val="Calibri"/>
        <b/>
        <color rgb="FFFF0000"/>
        <sz val="16.0"/>
      </rPr>
      <t>с НДС</t>
    </r>
  </si>
  <si>
    <t xml:space="preserve"> </t>
  </si>
  <si>
    <r>
      <rPr>
        <rFont val="Calibri"/>
        <b/>
        <color theme="1"/>
        <sz val="11.0"/>
      </rPr>
      <t>Итого стоимость для заказчика</t>
    </r>
    <r>
      <rPr>
        <rFont val="Calibri"/>
        <b/>
        <color rgb="FFFF0000"/>
        <sz val="11.0"/>
      </rPr>
      <t xml:space="preserve"> с НДС</t>
    </r>
  </si>
  <si>
    <t>Калькулятор расчета трудозатрат</t>
  </si>
  <si>
    <t>Размерность</t>
  </si>
  <si>
    <t>Риск</t>
  </si>
  <si>
    <t>Округления</t>
  </si>
  <si>
    <t>№</t>
  </si>
  <si>
    <t>Группа
Grooup</t>
  </si>
  <si>
    <t>Наименование работ 
(as option Task for ETS)</t>
  </si>
  <si>
    <t>Чел./час (ч.) базовые</t>
  </si>
  <si>
    <t>Исполнитель</t>
  </si>
  <si>
    <t>Доля занятости</t>
  </si>
  <si>
    <t>Параллельные потоки</t>
  </si>
  <si>
    <t>Этапы по КП</t>
  </si>
  <si>
    <t>Список ограничений и требований к Заказчику</t>
  </si>
  <si>
    <t>Ожидаемые результаты</t>
  </si>
  <si>
    <t>Длительность этапа (раб дни послед-но)</t>
  </si>
  <si>
    <t>Командировка (да/нет)</t>
  </si>
  <si>
    <t>Риск на длительность</t>
  </si>
  <si>
    <t>Стоимость роли</t>
  </si>
  <si>
    <t>Стоимость задачи</t>
  </si>
  <si>
    <t>Стоимость с учётом 5.Скоринг</t>
  </si>
  <si>
    <t>ETS Line</t>
  </si>
  <si>
    <t>ETS Role</t>
  </si>
  <si>
    <t>ETS Hours</t>
  </si>
  <si>
    <t>Managment (Управление)</t>
  </si>
  <si>
    <t>доля часов из общего объёма на активность</t>
  </si>
  <si>
    <t>Нет</t>
  </si>
  <si>
    <t>без НДС</t>
  </si>
  <si>
    <t>ГРУППУ НЕ  МЕНЯТЬ</t>
  </si>
  <si>
    <t>РАСЧЁТ АВТОМАТИЧЕСКИЙ</t>
  </si>
  <si>
    <t>НЕ ТРОГАТЬ</t>
  </si>
  <si>
    <t xml:space="preserve">ВСЕ ДАННЫЕ </t>
  </si>
  <si>
    <t>СЕРЫЕ</t>
  </si>
  <si>
    <t>ЗАИМСТВОВАНЫ с стр.1</t>
  </si>
  <si>
    <t>ЯЧЕЙКИ</t>
  </si>
  <si>
    <t>TL</t>
  </si>
  <si>
    <t>DSLead</t>
  </si>
  <si>
    <t>RnD (Исследование)</t>
  </si>
  <si>
    <t>Design (Пре.проект)</t>
  </si>
  <si>
    <t>Уточнение требований, интервью со стейкхолдерами</t>
  </si>
  <si>
    <t>Analytics Busines</t>
  </si>
  <si>
    <t>Предоставить контактных лиц, доступы к Confluence, ERP</t>
  </si>
  <si>
    <t>Финализированный и утвержденный документ с требованиями (PRD)</t>
  </si>
  <si>
    <t>Проектирование высокоуровневой архитектуры</t>
  </si>
  <si>
    <t>Утвержденная схема архитектуры, технологический стек</t>
  </si>
  <si>
    <t>Проектирование API-контрактов между сервисами</t>
  </si>
  <si>
    <t>Development Back</t>
  </si>
  <si>
    <t>OpenAPI (Swagger) спецификации для всех внутренних сервисов</t>
  </si>
  <si>
    <t>Проектирование схемы хранения логов и метрик SLA</t>
  </si>
  <si>
    <t>DevOps</t>
  </si>
  <si>
    <t>Структура индексов в Elasticsearch, определены ключевые метрики</t>
  </si>
  <si>
    <t>Проектирование пайплайна индексации Confluence</t>
  </si>
  <si>
    <t>DS/Ai/ML</t>
  </si>
  <si>
    <t>Доступ к API Confluence. Ограничение: до 1000 страниц, парсинг сложных таблиц и макросов не входит в MVP.</t>
  </si>
  <si>
    <t>Детальная схема процесса индексации</t>
  </si>
  <si>
    <t>Development (Разработка)</t>
  </si>
  <si>
    <t>Настройка Docker Swarm и связки Foundation Models</t>
  </si>
  <si>
    <t>Предоставить доступы к облачному провайдеру</t>
  </si>
  <si>
    <t>Готовая к развертыванию, безопасная K8s-инфраструктура</t>
  </si>
  <si>
    <t>Настройка CI/CD пайплайнов (GitLab CI / GitHub Actions)</t>
  </si>
  <si>
    <t>Доступ к репозиториям кода</t>
  </si>
  <si>
    <t>Автоматическая сборка, тестирование и развертывание сервисов</t>
  </si>
  <si>
    <t>Развертывание баз данных (PostgreSQL, Redis, Qdrant)</t>
  </si>
  <si>
    <t>Развернутые и сконфигурированные инстансы хранилищ данных</t>
  </si>
  <si>
    <t>Настройка системы логирования и мониторинга (Prometheus, Grafana)</t>
  </si>
  <si>
    <t>Централизованный сбор логов, дашборды в Kibana и Grafana</t>
  </si>
  <si>
    <t>API Gateway: настройка эндпоинтов, роутинг, rate limiting</t>
  </si>
  <si>
    <t>Единая точка входа, защищенная от перегрузок (20 req/s)</t>
  </si>
  <si>
    <t>Адаптер GreenAPI: парсинг и нормализация webhooks</t>
  </si>
  <si>
    <t>Предоставить тестовый аккаунт и токен GreenAPI. Ограничение: только текстовые сообщения.</t>
  </si>
  <si>
    <t>Сообщения из WhatsApp корректно преобразуются во внутренний формат</t>
  </si>
  <si>
    <t>Адаптер JivoSite: парсинг и нормализация webhooks</t>
  </si>
  <si>
    <t>Предоставить тестовый аккаунт JivoSite.</t>
  </si>
  <si>
    <t>Сообщения из JivoSite корректно преобразуются во внутренний формат</t>
  </si>
  <si>
    <t>Bot Core Orchestrator: чтение из очереди, роутинг запросов</t>
  </si>
  <si>
    <t>Ядро бота, маршрутизирующее запросы к нужным сервисам</t>
  </si>
  <si>
    <t>Реализация ролевой модели (клиент/менеджер)</t>
  </si>
  <si>
    <t>Ограничение: только 2 роли, без гранулярных прав.</t>
  </si>
  <si>
    <t>Логика, применяющая разные права доступа в зависимости от роли</t>
  </si>
  <si>
    <t>Реализация глобального кэша запросов (Redis)</t>
  </si>
  <si>
    <t>Ограничение: TTL кэша = 300 секунд.</t>
  </si>
  <si>
    <t>Снижение времени ответа на популярные запросы</t>
  </si>
  <si>
    <t>ERP Integration Service: разработка защищенного API</t>
  </si>
  <si>
    <t>Требование: Заказчик предоставляет стабильный REST API для ERP с документацией. Разработка API для ERP не входит в оценку.</t>
  </si>
  <si>
    <t>Безопасный сервис для получения данных (заказы, остатки, цены)</t>
  </si>
  <si>
    <t>Реализация логики авторизации (проверка прав на заказ)</t>
  </si>
  <si>
    <t>Ограничение: проверка только по номеру телефона, привязанному к заказу.</t>
  </si>
  <si>
    <t>Механизм, не позволяющий просматривать чужие заказы</t>
  </si>
  <si>
    <t>Confluence Indexer: выгрузка, парсинг, чанкинг</t>
  </si>
  <si>
    <t>Ограничение: качество ответов зависит от качества данных в Confluence. Работа с данными не входит в оценку.</t>
  </si>
  <si>
    <t>Фоновый сервис, который наполняет Vector DB</t>
  </si>
  <si>
    <t>RAG Service: API, интеграция с Vector DB и LLM</t>
  </si>
  <si>
    <t>Сервис, генерирующий ответы на основе данных из Confluence</t>
  </si>
  <si>
    <t>Подключение облачной LLM и подклчюение к Embedding моделям</t>
  </si>
  <si>
    <t>Выделить сервер с GPU. Ограничение: используется предобученная open-source модель, ее дообучение (fine-tuning) не входит в MVP.</t>
  </si>
  <si>
    <t>Экономичный сервис для генерации и векторизации</t>
  </si>
  <si>
    <t>Notification Dispatcher: асинхронная отправка ответов</t>
  </si>
  <si>
    <t>Отказоустойчивый сервис отправки сообщений</t>
  </si>
  <si>
    <t>Интеграция всех сервисов со структурированным логированием</t>
  </si>
  <si>
    <t>Все события и ошибки в системе логируются для анализа SLA</t>
  </si>
  <si>
    <t>Testing (Тестирование)</t>
  </si>
  <si>
    <t>Разработка тест-плана и тест-кейсов</t>
  </si>
  <si>
    <t>QA</t>
  </si>
  <si>
    <t>Документация, покрывающая все функциональные требования</t>
  </si>
  <si>
    <t>Компонентное и интеграционное тестирование API</t>
  </si>
  <si>
    <t>Отчеты о дефектах на уровне отдельных сервисов</t>
  </si>
  <si>
    <t>E2E тестирование сквозных сценариев (WhatsApp, Jivo)</t>
  </si>
  <si>
    <t>Предоставить тестовые данные (заказы, статьи в Confluence)</t>
  </si>
  <si>
    <t>Проверенные сценарии "вопрос-ответ"</t>
  </si>
  <si>
    <t>Тестирование безопасности (проверка доступа к чужим заказам)</t>
  </si>
  <si>
    <t>Подтверждение, что клиенты не видят данные менеджеров и чужие заказы</t>
  </si>
  <si>
    <t>Нагрузочное тестирование</t>
  </si>
  <si>
    <t>Ограничение: SLA ≤ 10 сек (p95) измеряется на сервере, без учета задержек сети.</t>
  </si>
  <si>
    <t>Отчет о производительности системы под нагрузкой</t>
  </si>
  <si>
    <t>Регрессионное тестирование и стабилизация</t>
  </si>
  <si>
    <t>Стабильная версия продукта, готовая к развертыванию</t>
  </si>
  <si>
    <t>Развертывание</t>
  </si>
  <si>
    <t>Развертывание в production-окружении</t>
  </si>
  <si>
    <t>Система развернута и работает в продуктивной среде</t>
  </si>
  <si>
    <t>Подготовка технической и пользовательской документации</t>
  </si>
  <si>
    <t>Комплект документации для администраторов и пользователей</t>
  </si>
  <si>
    <t>Демонстрация и передача проекта Заказчику</t>
  </si>
  <si>
    <t>Product</t>
  </si>
  <si>
    <t>Проект принят Заказчиком</t>
  </si>
  <si>
    <t>Коммуникации (детализация, daily, weekly)</t>
  </si>
  <si>
    <t>Development</t>
  </si>
  <si>
    <t>Запланированные потери на согласование</t>
  </si>
  <si>
    <t>Waste</t>
  </si>
  <si>
    <t>РАЗРАБОТКА часы (сумма групп, кроме 0 "управления"):</t>
  </si>
  <si>
    <t>Вего уникальных потоков</t>
  </si>
  <si>
    <t>Всего этапов КП</t>
  </si>
  <si>
    <t>Количество дней с учётом параллельности выполнения работ (стр.8)</t>
  </si>
  <si>
    <t>Итого без рисков</t>
  </si>
  <si>
    <t>ИТОГО часы (вместе с управлением, но без рисков):</t>
  </si>
  <si>
    <t>ИТОГО часы (весь проект с учётом рисков):</t>
  </si>
  <si>
    <t>Итого полное</t>
  </si>
  <si>
    <t>Идентифицированные риски:</t>
  </si>
  <si>
    <t>Group
(Группа риска, если требуется)</t>
  </si>
  <si>
    <t>Описание риска</t>
  </si>
  <si>
    <t>Увеличение трудозатрат (ч.)</t>
  </si>
  <si>
    <t>Решение по риску</t>
  </si>
  <si>
    <t>Data &amp; AI</t>
  </si>
  <si>
    <t>Неструктурированные или противоречивые данные в Confluence. Статьи содержат много сложных таблиц, схем, устаревшей или конфликтующей информации. Это приведет к неточным или бессмысленным ответам бота (риск не достичь SLA по точности ≥ 90%).</t>
  </si>
  <si>
    <t>Подтвержден</t>
  </si>
  <si>
    <t>Infrastructure &amp; Performance</t>
  </si>
  <si>
    <t>Низкая производительность API ERP-системы Заказчика. Внутренняя система отвечает на запросы дольше 2-3 секунд, что делает невозможным соблюдение общего SLA по скорости ответа бота (≤ 10 секунд).</t>
  </si>
  <si>
    <t>Исключен</t>
  </si>
  <si>
    <t>Management &amp; Communication</t>
  </si>
  <si>
    <t>Задержки в предоставлении доступов, данных и согласовании со стороны Заказчика (токены к Confluence/ERP, тестовые данные, утверждение требований). Это приводит к простою команды и срыву сроков этапов.</t>
  </si>
  <si>
    <t>External Dependencies</t>
  </si>
  <si>
    <t>Нестабильная работа или изменение API внешних сервисов (GreenAPI, JivoSite). Сервис может стать недоступным, изменить формат webhooks или ввести новые ограничения, что потребует срочной доработки адаптеров.</t>
  </si>
  <si>
    <t>Management &amp; Requirements</t>
  </si>
  <si>
    <t>Расширение требований (scope creep) в процессе работы над MVP. Например, Заказчик просит добавить поддержку аудиосообщений, кнопок в WhatsApp или интеграцию с Telegram "потому что это просто".</t>
  </si>
  <si>
    <t>Security &amp; Infrastructure</t>
  </si>
  <si>
    <t>Сложности с подключением к внутренним системам Заказчика из-за строгих политик безопасности (закрытые порты, VPN, firewall, отсутствие тестового контура), что замедляет разработку и отладку интеграции с ERP.</t>
  </si>
  <si>
    <t>AI &amp; User Experience</t>
  </si>
  <si>
    <t>"Галлюцинации" или нерелевантные ответы LLM, даже при наличии правильного контекста из Confluence. Модель может неправильно интерпретировать контекст или добавлять лишнюю информацию, что снизит доверие пользователей.</t>
  </si>
  <si>
    <t>Показатель</t>
  </si>
  <si>
    <t>Критерии</t>
  </si>
  <si>
    <t>Оценка риска</t>
  </si>
  <si>
    <t>Балл</t>
  </si>
  <si>
    <t>Увеличение стоимости проекта</t>
  </si>
  <si>
    <t>Примечание</t>
  </si>
  <si>
    <t>Кто заполняет</t>
  </si>
  <si>
    <t>ТКП/договор отражает реальный состав работ</t>
  </si>
  <si>
    <t>1. Сформирован состав работ.
2. Определены и включены в договор требования, ТЗ, границы проекта. 
3. Оценка трудозатрат согласована Разработкой.
4. PRD согласован Заказчиком.</t>
  </si>
  <si>
    <t>Низкий</t>
  </si>
  <si>
    <t>Продакт/Архитектор</t>
  </si>
  <si>
    <t>Архитектура решения</t>
  </si>
  <si>
    <t>1. Разработана архитектура решения, позволяющее декомпозировать ее далее до дискретных задач и построить роадмап
2. Архитектор провел ревью проектной документации (PRD) на предмет реализуемости проекта.
3. Архитектура согласована Заказчиком.</t>
  </si>
  <si>
    <t>Архитектор</t>
  </si>
  <si>
    <t>Уверенность в реализуемости решения</t>
  </si>
  <si>
    <t>1. Отсутствует необходимость доработки легаси-решения
2. Отсутствует зависимость от внешних решений (Если есть полноценная документация на внешнее решение, то риск низкий. Если работали с этим решением, то риска нет. Иначе риск средний или высокий в зависимости от сложности интеграции с решением)
3. Отсутствует зависимость от внешних команд
4. Отсутствует негативный опыт взаимодействия с используемыми технологиями на проекте.</t>
  </si>
  <si>
    <t>Цели и требования к результатам проекта</t>
  </si>
  <si>
    <t>1. Определены цели проекта и требования к результатам проекта и они являются прозрачными для Заказчика. 
2. Определены ЛПР со стороны Заказчика, осуществляющие приемку результатов работ. 
3. Определены и согласованы критерии приемки решения.
4. Отсутствуют дополнительные (неучтенные) требования к результатам работ.
5. Зафиксированы допущения и ограничения к реализации проекта.</t>
  </si>
  <si>
    <t>Продакт</t>
  </si>
  <si>
    <t>Наличие компетенций</t>
  </si>
  <si>
    <t>1. Есть успешный опыт аналогичных проектов у команды проекта.
2. Доступность команды имеющей компетенции для реализации проекта.
3. Есть компетенции в технолгиях и/или домене используемых для реализации проекта.</t>
  </si>
  <si>
    <t>Лояльность/сложность Заказчика</t>
  </si>
  <si>
    <t>1. Заказчик лоялен.
2. Заказчик обладает опытом внедрения AI решений.
3. Отсутствуют барьеры коммуникаций (локация, язык, доступность Заказчика).
4. Проработанный процесс управления изменениями с Заказчиком.
5. Заказчик обладает опытом работы в формате Заказной разработки.</t>
  </si>
  <si>
    <t>Отсутствует</t>
  </si>
  <si>
    <t>Продакт/BDM</t>
  </si>
  <si>
    <t>Платежеспособность Заказчика</t>
  </si>
  <si>
    <t>1. Отсутствие переторжки: прожимания по цене, срокам, скопу работ.
2. Гарантии своевременных оплат.</t>
  </si>
  <si>
    <t>Техническая инфраструктура и интеграции</t>
  </si>
  <si>
    <t>1. Определена и согласована технологическая стековая архитектура.
2. Проведена валидация используемых технологий на соответствие требованиям проекта и интеграции с системами заказчика.
3. Определены и зафиксированы в проектной документации (PRD) точки интеграции и API.
4. Заказчик отвечает за работу в своей инфраструктуре и готов выдавать доступы по требованию.</t>
  </si>
  <si>
    <t>Средний</t>
  </si>
  <si>
    <t>Прозрачность процессов работы в проекте  (актуально для энтерпрайз-проектов)</t>
  </si>
  <si>
    <t>Процессы определены и согласованы с заказчиком:
Процесс разработки
Политики выпуска релизов
Процесс проведения предварительных совместных испытаний (ПСИ)
Процесс проведения опытной промышленной эксплуатации (ОПЭ)
Процесс технико-информационной поддержки
Процесс гарантийного сопровождения и управления инцидентами
Требования к документированию</t>
  </si>
  <si>
    <t>Подтверждение команды</t>
  </si>
  <si>
    <t>1. Подтверждено наличие команды на предполагаемую дату старта проекта.
2. Сформирован план выбора замены в случае выхода из строя текущей команды разработки.
3. Отсутствуют доп. требования к команде (локация, тайм-зона, язык, допуски и т.д.)</t>
  </si>
  <si>
    <t>Готовность заказчика к выполнению работ</t>
  </si>
  <si>
    <t>1. Определена дата старт работ (+- неделя).
2. Не ожидаются перерывы при выполнении работ.
3. Подтверждена доступность необходимого для выполнения проекта персонала Заказчика</t>
  </si>
  <si>
    <t>Сроки работ и орг. составляющая</t>
  </si>
  <si>
    <t>1. Календарный план реализации проекта учитывает:
- задачи со стороны Заказчика и/или Третьих сторон;
- детальный план работ;
- резервы на риски;
- проведения формальных процедур между нами и Заказчиком.
2. Согласована этапность сдачи результатов работ (срок актирования не превышает 3 месяцев)
3. Отсутствие не сдвигаемых сроков (регламентируемых законодательством, обязательствами Заказчика и т.д.)</t>
  </si>
  <si>
    <t>Бюджет</t>
  </si>
  <si>
    <t xml:space="preserve">1. Бюджет проекта соответствует договорной стоимости и норме маржинальности, а также включает в себя:
- затраты на работы (внутренние и внешние ресурсы);
- затраты на командировочные расходы;
- накладные расходы;
- резервы на риски;
- стоимость хостинга, мощностей, ПО и тд;
2. Сроки оплаты по актам не превышают 30 дней.
3. Бюджет Заказчика подтвержден. </t>
  </si>
  <si>
    <t>Итого: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</si>
</sst>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\ &quot;₽&quot;_-;\-* #,##0\ &quot;₽&quot;_-;_-* &quot;-&quot;??\ &quot;₽&quot;_-;_-@"/>
    <numFmt numFmtId="165" formatCode="_(&quot;₽&quot;* #,##0.00_);_(&quot;₽&quot;* \(#,##0.00\);_(&quot;₽&quot;* &quot;-&quot;??_);_(@_)"/>
    <numFmt numFmtId="166" formatCode="#&quot; раб.дни.&quot;;;"/>
    <numFmt numFmtId="167" formatCode="#,##0.00[$ ₽]"/>
    <numFmt numFmtId="168" formatCode="#&quot; раб.дни.&quot;"/>
  </numFmts>
  <fonts count="40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/>
    <font>
      <b/>
      <sz val="10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999999"/>
      <name val="Calibri"/>
    </font>
    <font>
      <b/>
      <sz val="12.0"/>
      <color theme="1"/>
      <name val="Calibri"/>
    </font>
    <font>
      <color rgb="FFB7B7B7"/>
      <name val="Calibri"/>
      <scheme val="minor"/>
    </font>
    <font>
      <sz val="11.0"/>
      <color rgb="FFB7B7B7"/>
      <name val="Calibri"/>
    </font>
    <font>
      <b/>
      <sz val="11.0"/>
      <color rgb="FF666666"/>
      <name val="Calibri"/>
    </font>
    <font>
      <b/>
      <sz val="12.0"/>
      <color rgb="FF000000"/>
      <name val="Calibri"/>
    </font>
    <font>
      <b/>
      <sz val="13.0"/>
      <color rgb="FF000000"/>
      <name val="Calibri"/>
    </font>
    <font>
      <sz val="10.0"/>
      <color theme="1"/>
      <name val="Calibri"/>
    </font>
    <font>
      <color rgb="FF999999"/>
      <name val="Calibri"/>
      <scheme val="minor"/>
    </font>
    <font>
      <b/>
      <sz val="11.0"/>
      <color rgb="FF999999"/>
      <name val="Calibri"/>
    </font>
    <font>
      <u/>
      <sz val="11.0"/>
      <color rgb="FF0000FF"/>
      <name val="Calibri"/>
    </font>
    <font>
      <i/>
      <sz val="11.0"/>
      <color theme="1"/>
      <name val="Calibri"/>
    </font>
    <font>
      <u/>
      <sz val="11.0"/>
      <color theme="1"/>
      <name val="Calibri"/>
    </font>
    <font>
      <i/>
      <sz val="10.0"/>
      <color theme="1"/>
      <name val="Calibri"/>
    </font>
    <font>
      <b/>
      <sz val="16.0"/>
      <color theme="0"/>
      <name val="Calibri"/>
    </font>
    <font>
      <b/>
      <sz val="11.0"/>
      <color theme="0"/>
      <name val="Calibri"/>
    </font>
    <font>
      <b/>
      <sz val="13.0"/>
      <color theme="1"/>
      <name val="Calibri"/>
    </font>
    <font>
      <b/>
      <sz val="10.0"/>
      <color theme="1"/>
      <name val="Calibri"/>
    </font>
    <font>
      <color theme="1"/>
      <name val="Calibri"/>
    </font>
    <font>
      <b/>
      <i/>
      <sz val="10.0"/>
      <color theme="1"/>
      <name val="Calibri"/>
    </font>
    <font>
      <sz val="10.0"/>
      <color rgb="FF000000"/>
      <name val="Calibri"/>
    </font>
    <font>
      <b/>
      <sz val="10.0"/>
      <color rgb="FF7F7F7F"/>
      <name val="Calibri"/>
    </font>
    <font>
      <sz val="12.0"/>
      <color theme="1"/>
      <name val="Calibri"/>
    </font>
    <font>
      <b/>
      <color rgb="FF980000"/>
      <name val="Calibri"/>
    </font>
    <font>
      <sz val="10.0"/>
      <color rgb="FF1A1C1E"/>
      <name val="Calibri"/>
    </font>
    <font>
      <sz val="10.0"/>
      <color rgb="FF7F7F7F"/>
      <name val="Calibri"/>
    </font>
    <font>
      <b/>
      <i/>
      <sz val="11.0"/>
      <color theme="1"/>
      <name val="Calibri"/>
    </font>
    <font>
      <sz val="11.0"/>
      <color rgb="FF7F7F7F"/>
      <name val="Calibri"/>
    </font>
    <font>
      <b/>
      <sz val="11.0"/>
      <color rgb="FF351C75"/>
      <name val="Calibri"/>
    </font>
    <font>
      <b/>
      <sz val="11.0"/>
      <color rgb="FF38761D"/>
      <name val="Calibri"/>
    </font>
    <font>
      <b/>
      <sz val="11.0"/>
      <color rgb="FF7F7F7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BF3"/>
        <bgColor rgb="FFDAEBF3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C6D9F0"/>
        <bgColor rgb="FFC6D9F0"/>
      </patternFill>
    </fill>
  </fills>
  <borders count="1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</border>
    <border>
      <left style="thin">
        <color rgb="FF7F7F7F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top style="thin">
        <color rgb="FF7F7F7F"/>
      </top>
      <bottom/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/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/>
    </border>
    <border>
      <left style="thick">
        <color rgb="FF000000"/>
      </left>
      <right style="thick">
        <color rgb="FF000000"/>
      </right>
      <top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7F7F7F"/>
      </bottom>
    </border>
    <border>
      <right/>
      <top style="medium">
        <color rgb="FF000000"/>
      </top>
    </border>
    <border>
      <left style="thin">
        <color rgb="FF7F7F7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7F7F7F"/>
      </top>
      <bottom style="thin">
        <color rgb="FF7F7F7F"/>
      </bottom>
    </border>
    <border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right/>
      <top style="thin">
        <color rgb="FF7F7F7F"/>
      </top>
      <bottom style="medium">
        <color rgb="FF000000"/>
      </bottom>
    </border>
    <border>
      <right/>
      <top style="thin">
        <color rgb="FF7F7F7F"/>
      </top>
      <bottom style="medium">
        <color rgb="FF000000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</border>
    <border>
      <left style="thin">
        <color rgb="FF7F7F7F"/>
      </left>
      <right style="medium">
        <color rgb="FF000000"/>
      </right>
      <bottom style="medium">
        <color rgb="FF000000"/>
      </bottom>
    </border>
    <border>
      <left style="thin">
        <color rgb="FF7F7F7F"/>
      </left>
      <right style="medium">
        <color rgb="FF000000"/>
      </right>
      <top/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5B3D7"/>
      </left>
      <right/>
      <top style="thin">
        <color rgb="FF95B3D7"/>
      </top>
      <bottom/>
    </border>
    <border>
      <top style="thin">
        <color rgb="FF95B3D7"/>
      </top>
      <bottom/>
    </border>
    <border>
      <left/>
      <right style="thin">
        <color rgb="FF95B3D7"/>
      </right>
      <top style="thin">
        <color rgb="FF95B3D7"/>
      </top>
      <bottom/>
    </border>
    <border>
      <left style="thin">
        <color rgb="FF7F7F7F"/>
      </left>
      <right/>
      <top style="thin">
        <color rgb="FF7F7F7F"/>
      </top>
      <bottom/>
    </border>
    <border>
      <left style="thin">
        <color rgb="FF7F7F7F"/>
      </left>
      <top style="thin">
        <color rgb="FF7F7F7F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7F7F7F"/>
      </right>
      <top/>
    </border>
    <border>
      <right style="thin">
        <color rgb="FF7F7F7F"/>
      </right>
      <top/>
    </border>
    <border>
      <left style="thin">
        <color rgb="FF7F7F7F"/>
      </left>
      <right style="thin">
        <color rgb="FF7F7F7F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7F7F7F"/>
      </right>
      <top style="medium">
        <color rgb="FF000000"/>
      </top>
    </border>
    <border>
      <left style="thin">
        <color rgb="FF7F7F7F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7F7F7F"/>
      </bottom>
    </border>
    <border>
      <left style="thin">
        <color rgb="FF000000"/>
      </left>
      <right style="medium">
        <color rgb="FF000000"/>
      </right>
      <bottom style="thin">
        <color rgb="FF7F7F7F"/>
      </bottom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7F7F7F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7F7F7F"/>
      </top>
      <bottom style="medium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7F7F7F"/>
      </right>
      <bottom style="medium">
        <color rgb="FF000000"/>
      </bottom>
    </border>
    <border>
      <left style="thin">
        <color rgb="FF7F7F7F"/>
      </left>
      <right style="thin">
        <color rgb="FF7F7F7F"/>
      </right>
      <bottom style="medium">
        <color rgb="FF000000"/>
      </bottom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4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Font="1"/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center" vertical="top"/>
    </xf>
    <xf borderId="0" fillId="2" fontId="3" numFmtId="0" xfId="0" applyFill="1" applyFont="1"/>
    <xf borderId="1" fillId="3" fontId="4" numFmtId="0" xfId="0" applyAlignment="1" applyBorder="1" applyFill="1" applyFont="1">
      <alignment vertical="center"/>
    </xf>
    <xf borderId="2" fillId="4" fontId="2" numFmtId="0" xfId="0" applyAlignment="1" applyBorder="1" applyFill="1" applyFont="1">
      <alignment horizontal="left" readingOrder="0" vertical="center"/>
    </xf>
    <xf borderId="3" fillId="0" fontId="5" numFmtId="0" xfId="0" applyBorder="1" applyFont="1"/>
    <xf borderId="4" fillId="0" fontId="5" numFmtId="0" xfId="0" applyBorder="1" applyFont="1"/>
    <xf borderId="5" fillId="5" fontId="4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5" fontId="4" numFmtId="0" xfId="0" applyAlignment="1" applyBorder="1" applyFont="1">
      <alignment horizontal="center" readingOrder="0" shrinkToFit="0" vertical="center" wrapText="1"/>
    </xf>
    <xf borderId="10" fillId="5" fontId="4" numFmtId="0" xfId="0" applyAlignment="1" applyBorder="1" applyFont="1">
      <alignment horizontal="center" readingOrder="0" shrinkToFit="0" vertical="center" wrapText="1"/>
    </xf>
    <xf borderId="11" fillId="5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readingOrder="0" vertical="center"/>
    </xf>
    <xf borderId="12" fillId="6" fontId="7" numFmtId="0" xfId="0" applyBorder="1" applyFill="1" applyFont="1"/>
    <xf borderId="13" fillId="6" fontId="7" numFmtId="0" xfId="0" applyBorder="1" applyFont="1"/>
    <xf borderId="14" fillId="6" fontId="7" numFmtId="0" xfId="0" applyBorder="1" applyFont="1"/>
    <xf borderId="15" fillId="6" fontId="7" numFmtId="0" xfId="0" applyBorder="1" applyFont="1"/>
    <xf borderId="16" fillId="6" fontId="7" numFmtId="0" xfId="0" applyAlignment="1" applyBorder="1" applyFont="1">
      <alignment readingOrder="0"/>
    </xf>
    <xf borderId="17" fillId="6" fontId="7" numFmtId="0" xfId="0" applyAlignment="1" applyBorder="1" applyFont="1">
      <alignment readingOrder="0"/>
    </xf>
    <xf borderId="18" fillId="6" fontId="7" numFmtId="0" xfId="0" applyAlignment="1" applyBorder="1" applyFont="1">
      <alignment readingOrder="0"/>
    </xf>
    <xf borderId="19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7" fontId="4" numFmtId="164" xfId="0" applyAlignment="1" applyBorder="1" applyFill="1" applyFont="1" applyNumberFormat="1">
      <alignment horizontal="right" shrinkToFit="0" vertical="center" wrapText="1"/>
    </xf>
    <xf borderId="20" fillId="7" fontId="2" numFmtId="0" xfId="0" applyAlignment="1" applyBorder="1" applyFont="1">
      <alignment horizontal="center" vertical="center"/>
    </xf>
    <xf borderId="21" fillId="7" fontId="8" numFmtId="164" xfId="0" applyAlignment="1" applyBorder="1" applyFont="1" applyNumberFormat="1">
      <alignment horizontal="right" shrinkToFit="0" vertical="center" wrapText="1"/>
    </xf>
    <xf borderId="22" fillId="7" fontId="8" numFmtId="164" xfId="0" applyAlignment="1" applyBorder="1" applyFont="1" applyNumberFormat="1">
      <alignment horizontal="right" shrinkToFit="0" vertical="center" wrapText="1"/>
    </xf>
    <xf borderId="23" fillId="7" fontId="9" numFmtId="0" xfId="0" applyAlignment="1" applyBorder="1" applyFont="1">
      <alignment horizontal="right" shrinkToFit="0" vertical="center" wrapText="1"/>
    </xf>
    <xf borderId="24" fillId="7" fontId="9" numFmtId="0" xfId="0" applyAlignment="1" applyBorder="1" applyFont="1">
      <alignment horizontal="left" readingOrder="0" shrinkToFit="0" vertical="center" wrapText="1"/>
    </xf>
    <xf borderId="25" fillId="4" fontId="2" numFmtId="0" xfId="0" applyAlignment="1" applyBorder="1" applyFont="1">
      <alignment horizontal="left" readingOrder="0" vertical="center"/>
    </xf>
    <xf borderId="26" fillId="4" fontId="2" numFmtId="0" xfId="0" applyAlignment="1" applyBorder="1" applyFont="1">
      <alignment horizontal="left" vertical="center"/>
    </xf>
    <xf borderId="27" fillId="4" fontId="2" numFmtId="0" xfId="0" applyAlignment="1" applyBorder="1" applyFont="1">
      <alignment horizontal="left" vertical="center"/>
    </xf>
    <xf borderId="23" fillId="7" fontId="8" numFmtId="0" xfId="0" applyAlignment="1" applyBorder="1" applyFont="1">
      <alignment horizontal="right" shrinkToFit="0" vertical="center" wrapText="1"/>
    </xf>
    <xf borderId="24" fillId="7" fontId="8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vertical="top"/>
    </xf>
    <xf borderId="24" fillId="7" fontId="8" numFmtId="0" xfId="0" applyAlignment="1" applyBorder="1" applyFont="1">
      <alignment horizontal="left" shrinkToFit="0" vertical="center" wrapText="1"/>
    </xf>
    <xf borderId="28" fillId="4" fontId="2" numFmtId="0" xfId="0" applyAlignment="1" applyBorder="1" applyFont="1">
      <alignment horizontal="left" readingOrder="0" vertical="center"/>
    </xf>
    <xf borderId="29" fillId="0" fontId="5" numFmtId="0" xfId="0" applyBorder="1" applyFont="1"/>
    <xf borderId="30" fillId="0" fontId="5" numFmtId="0" xfId="0" applyBorder="1" applyFont="1"/>
    <xf borderId="20" fillId="4" fontId="10" numFmtId="0" xfId="0" applyAlignment="1" applyBorder="1" applyFont="1">
      <alignment horizontal="center"/>
    </xf>
    <xf borderId="31" fillId="0" fontId="5" numFmtId="0" xfId="0" applyBorder="1" applyFont="1"/>
    <xf borderId="32" fillId="0" fontId="5" numFmtId="0" xfId="0" applyBorder="1" applyFont="1"/>
    <xf borderId="0" fillId="0" fontId="4" numFmtId="0" xfId="0" applyAlignment="1" applyFont="1">
      <alignment horizontal="left" vertical="top"/>
    </xf>
    <xf borderId="33" fillId="8" fontId="10" numFmtId="0" xfId="0" applyAlignment="1" applyBorder="1" applyFill="1" applyFont="1">
      <alignment horizontal="center" readingOrder="0"/>
    </xf>
    <xf borderId="34" fillId="8" fontId="2" numFmtId="0" xfId="0" applyAlignment="1" applyBorder="1" applyFont="1">
      <alignment horizontal="left" vertical="center"/>
    </xf>
    <xf borderId="35" fillId="0" fontId="5" numFmtId="0" xfId="0" applyBorder="1" applyFont="1"/>
    <xf borderId="33" fillId="8" fontId="7" numFmtId="9" xfId="0" applyAlignment="1" applyBorder="1" applyFont="1" applyNumberFormat="1">
      <alignment horizontal="left" vertical="center"/>
    </xf>
    <xf borderId="33" fillId="8" fontId="2" numFmtId="0" xfId="0" applyAlignment="1" applyBorder="1" applyFont="1">
      <alignment vertical="center"/>
    </xf>
    <xf borderId="20" fillId="3" fontId="4" numFmtId="0" xfId="0" applyAlignment="1" applyBorder="1" applyFont="1">
      <alignment horizontal="left" readingOrder="0" vertical="center"/>
    </xf>
    <xf borderId="31" fillId="3" fontId="4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center" vertical="center"/>
    </xf>
    <xf borderId="34" fillId="8" fontId="2" numFmtId="0" xfId="0" applyAlignment="1" applyBorder="1" applyFont="1">
      <alignment vertical="center"/>
    </xf>
    <xf borderId="20" fillId="0" fontId="8" numFmtId="0" xfId="0" applyAlignment="1" applyBorder="1" applyFont="1">
      <alignment horizontal="right" readingOrder="0" shrinkToFit="0" vertical="center" wrapText="1"/>
    </xf>
    <xf borderId="31" fillId="0" fontId="8" numFmtId="0" xfId="0" applyAlignment="1" applyBorder="1" applyFont="1">
      <alignment horizontal="right" readingOrder="0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20" fillId="4" fontId="2" numFmtId="0" xfId="0" applyAlignment="1" applyBorder="1" applyFont="1">
      <alignment horizontal="left" readingOrder="0"/>
    </xf>
    <xf borderId="20" fillId="3" fontId="7" numFmtId="0" xfId="0" applyAlignment="1" applyBorder="1" applyFont="1">
      <alignment horizontal="left" readingOrder="0" vertical="center"/>
    </xf>
    <xf borderId="20" fillId="7" fontId="7" numFmtId="9" xfId="0" applyAlignment="1" applyBorder="1" applyFont="1" applyNumberFormat="1">
      <alignment horizontal="center" vertical="center"/>
    </xf>
    <xf borderId="32" fillId="7" fontId="7" numFmtId="9" xfId="0" applyAlignment="1" applyBorder="1" applyFont="1" applyNumberFormat="1">
      <alignment horizontal="center" vertical="center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horizontal="center" vertical="center"/>
    </xf>
    <xf borderId="36" fillId="0" fontId="8" numFmtId="0" xfId="0" applyAlignment="1" applyBorder="1" applyFont="1">
      <alignment readingOrder="0"/>
    </xf>
    <xf borderId="37" fillId="0" fontId="8" numFmtId="0" xfId="0" applyAlignment="1" applyBorder="1" applyFont="1">
      <alignment readingOrder="0"/>
    </xf>
    <xf borderId="37" fillId="7" fontId="4" numFmtId="164" xfId="0" applyAlignment="1" applyBorder="1" applyFont="1" applyNumberFormat="1">
      <alignment horizontal="right" shrinkToFit="0" vertical="center" wrapText="1"/>
    </xf>
    <xf borderId="38" fillId="7" fontId="2" numFmtId="0" xfId="0" applyAlignment="1" applyBorder="1" applyFont="1">
      <alignment horizontal="center" vertical="center"/>
    </xf>
    <xf borderId="39" fillId="7" fontId="8" numFmtId="164" xfId="0" applyAlignment="1" applyBorder="1" applyFont="1" applyNumberFormat="1">
      <alignment horizontal="right" shrinkToFit="0" vertical="center" wrapText="1"/>
    </xf>
    <xf borderId="40" fillId="7" fontId="8" numFmtId="164" xfId="0" applyAlignment="1" applyBorder="1" applyFont="1" applyNumberFormat="1">
      <alignment horizontal="right" shrinkToFit="0" vertical="center" wrapText="1"/>
    </xf>
    <xf borderId="41" fillId="7" fontId="8" numFmtId="0" xfId="0" applyAlignment="1" applyBorder="1" applyFont="1">
      <alignment horizontal="right" shrinkToFit="0" vertical="center" wrapText="1"/>
    </xf>
    <xf borderId="42" fillId="7" fontId="8" numFmtId="0" xfId="0" applyAlignment="1" applyBorder="1" applyFont="1">
      <alignment horizontal="left" shrinkToFit="0" vertical="center" wrapText="1"/>
    </xf>
    <xf borderId="12" fillId="6" fontId="4" numFmtId="0" xfId="0" applyAlignment="1" applyBorder="1" applyFont="1">
      <alignment shrinkToFit="0" vertical="top" wrapText="1"/>
    </xf>
    <xf borderId="13" fillId="6" fontId="7" numFmtId="0" xfId="0" applyAlignment="1" applyBorder="1" applyFont="1">
      <alignment vertical="center"/>
    </xf>
    <xf borderId="13" fillId="6" fontId="4" numFmtId="164" xfId="0" applyAlignment="1" applyBorder="1" applyFont="1" applyNumberFormat="1">
      <alignment horizontal="right" shrinkToFit="0" vertical="center" wrapText="1"/>
    </xf>
    <xf borderId="14" fillId="6" fontId="7" numFmtId="0" xfId="0" applyAlignment="1" applyBorder="1" applyFont="1">
      <alignment vertical="center"/>
    </xf>
    <xf borderId="15" fillId="6" fontId="7" numFmtId="0" xfId="0" applyAlignment="1" applyBorder="1" applyFont="1">
      <alignment vertical="center"/>
    </xf>
    <xf borderId="18" fillId="0" fontId="3" numFmtId="0" xfId="0" applyAlignment="1" applyBorder="1" applyFont="1">
      <alignment horizontal="left"/>
    </xf>
    <xf borderId="0" fillId="0" fontId="3" numFmtId="0" xfId="0" applyFont="1"/>
    <xf borderId="0" fillId="9" fontId="3" numFmtId="0" xfId="0" applyFill="1" applyFont="1"/>
    <xf borderId="0" fillId="0" fontId="2" numFmtId="0" xfId="0" applyAlignment="1" applyFont="1">
      <alignment readingOrder="0"/>
    </xf>
    <xf borderId="19" fillId="0" fontId="3" numFmtId="0" xfId="0" applyBorder="1" applyFont="1"/>
    <xf borderId="1" fillId="0" fontId="2" numFmtId="0" xfId="0" applyAlignment="1" applyBorder="1" applyFont="1">
      <alignment readingOrder="0"/>
    </xf>
    <xf borderId="19" fillId="4" fontId="3" numFmtId="0" xfId="0" applyBorder="1" applyFont="1"/>
    <xf borderId="43" fillId="4" fontId="2" numFmtId="1" xfId="0" applyAlignment="1" applyBorder="1" applyFont="1" applyNumberFormat="1">
      <alignment vertical="top"/>
    </xf>
    <xf borderId="44" fillId="0" fontId="8" numFmtId="0" xfId="0" applyAlignment="1" applyBorder="1" applyFont="1">
      <alignment readingOrder="0"/>
    </xf>
    <xf borderId="44" fillId="7" fontId="4" numFmtId="164" xfId="0" applyAlignment="1" applyBorder="1" applyFont="1" applyNumberFormat="1">
      <alignment horizontal="right" shrinkToFit="0" vertical="center" wrapText="1"/>
    </xf>
    <xf borderId="45" fillId="7" fontId="2" numFmtId="0" xfId="0" applyAlignment="1" applyBorder="1" applyFont="1">
      <alignment horizontal="center" vertical="center"/>
    </xf>
    <xf borderId="46" fillId="7" fontId="8" numFmtId="164" xfId="0" applyAlignment="1" applyBorder="1" applyFont="1" applyNumberFormat="1">
      <alignment horizontal="right" shrinkToFit="0" vertical="center" wrapText="1"/>
    </xf>
    <xf borderId="47" fillId="7" fontId="8" numFmtId="164" xfId="0" applyAlignment="1" applyBorder="1" applyFont="1" applyNumberFormat="1">
      <alignment horizontal="right" shrinkToFit="0" vertical="center" wrapText="1"/>
    </xf>
    <xf borderId="23" fillId="7" fontId="13" numFmtId="0" xfId="0" applyAlignment="1" applyBorder="1" applyFont="1">
      <alignment horizontal="right" shrinkToFit="0" vertical="center" wrapText="1"/>
    </xf>
    <xf borderId="24" fillId="0" fontId="3" numFmtId="0" xfId="0" applyAlignment="1" applyBorder="1" applyFont="1">
      <alignment horizontal="left"/>
    </xf>
    <xf borderId="0" fillId="8" fontId="2" numFmtId="0" xfId="0" applyAlignment="1" applyFont="1">
      <alignment horizontal="center" vertical="center"/>
    </xf>
    <xf borderId="43" fillId="4" fontId="2" numFmtId="1" xfId="0" applyAlignment="1" applyBorder="1" applyFont="1" applyNumberFormat="1">
      <alignment readingOrder="0" vertical="top"/>
    </xf>
    <xf borderId="23" fillId="7" fontId="13" numFmtId="0" xfId="0" applyAlignment="1" applyBorder="1" applyFont="1">
      <alignment horizontal="right" readingOrder="0" shrinkToFit="0" vertical="center" wrapText="1"/>
    </xf>
    <xf borderId="24" fillId="6" fontId="7" numFmtId="0" xfId="0" applyAlignment="1" applyBorder="1" applyFont="1">
      <alignment horizontal="left" readingOrder="0"/>
    </xf>
    <xf borderId="48" fillId="5" fontId="7" numFmtId="0" xfId="0" applyAlignment="1" applyBorder="1" applyFont="1">
      <alignment readingOrder="0" vertical="top"/>
    </xf>
    <xf borderId="49" fillId="0" fontId="5" numFmtId="0" xfId="0" applyBorder="1" applyFont="1"/>
    <xf borderId="50" fillId="0" fontId="5" numFmtId="0" xfId="0" applyBorder="1" applyFont="1"/>
    <xf borderId="49" fillId="7" fontId="14" numFmtId="164" xfId="0" applyAlignment="1" applyBorder="1" applyFont="1" applyNumberFormat="1">
      <alignment horizontal="right" shrinkToFit="0" vertical="center" wrapText="1"/>
    </xf>
    <xf borderId="51" fillId="10" fontId="15" numFmtId="164" xfId="0" applyAlignment="1" applyBorder="1" applyFill="1" applyFont="1" applyNumberFormat="1">
      <alignment horizontal="right" shrinkToFit="0" vertical="center" wrapText="1"/>
    </xf>
    <xf borderId="52" fillId="6" fontId="7" numFmtId="0" xfId="0" applyAlignment="1" applyBorder="1" applyFont="1">
      <alignment readingOrder="0"/>
    </xf>
    <xf borderId="53" fillId="6" fontId="7" numFmtId="0" xfId="0" applyAlignment="1" applyBorder="1" applyFont="1">
      <alignment horizontal="left" readingOrder="0"/>
    </xf>
    <xf borderId="0" fillId="0" fontId="16" numFmtId="0" xfId="0" applyFont="1"/>
    <xf borderId="54" fillId="0" fontId="2" numFmtId="0" xfId="0" applyAlignment="1" applyBorder="1" applyFont="1">
      <alignment horizontal="left" vertical="center"/>
    </xf>
    <xf borderId="55" fillId="5" fontId="7" numFmtId="0" xfId="0" applyAlignment="1" applyBorder="1" applyFont="1">
      <alignment horizontal="right" vertical="top"/>
    </xf>
    <xf borderId="14" fillId="5" fontId="7" numFmtId="0" xfId="0" applyAlignment="1" applyBorder="1" applyFont="1">
      <alignment horizontal="left" readingOrder="0" vertical="top"/>
    </xf>
    <xf borderId="56" fillId="0" fontId="5" numFmtId="0" xfId="0" applyBorder="1" applyFont="1"/>
    <xf borderId="57" fillId="7" fontId="8" numFmtId="164" xfId="0" applyAlignment="1" applyBorder="1" applyFont="1" applyNumberFormat="1">
      <alignment horizontal="right" readingOrder="0" shrinkToFit="0" vertical="center" wrapText="1"/>
    </xf>
    <xf borderId="58" fillId="7" fontId="8" numFmtId="164" xfId="0" applyAlignment="1" applyBorder="1" applyFont="1" applyNumberFormat="1">
      <alignment horizontal="right" shrinkToFit="0" vertical="center" wrapText="1"/>
    </xf>
    <xf borderId="24" fillId="0" fontId="17" numFmtId="0" xfId="0" applyAlignment="1" applyBorder="1" applyFont="1">
      <alignment horizontal="left" readingOrder="0"/>
    </xf>
    <xf borderId="59" fillId="0" fontId="5" numFmtId="0" xfId="0" applyBorder="1" applyFont="1"/>
    <xf borderId="60" fillId="5" fontId="7" numFmtId="0" xfId="0" applyAlignment="1" applyBorder="1" applyFont="1">
      <alignment horizontal="right" vertical="top"/>
    </xf>
    <xf borderId="45" fillId="5" fontId="7" numFmtId="0" xfId="0" applyAlignment="1" applyBorder="1" applyFont="1">
      <alignment horizontal="left" readingOrder="0" vertical="top"/>
    </xf>
    <xf borderId="61" fillId="0" fontId="5" numFmtId="0" xfId="0" applyBorder="1" applyFont="1"/>
    <xf borderId="62" fillId="7" fontId="8" numFmtId="164" xfId="0" applyAlignment="1" applyBorder="1" applyFont="1" applyNumberFormat="1">
      <alignment horizontal="right" shrinkToFit="0" vertical="center" wrapText="1"/>
    </xf>
    <xf borderId="63" fillId="7" fontId="8" numFmtId="164" xfId="0" applyAlignment="1" applyBorder="1" applyFont="1" applyNumberFormat="1">
      <alignment horizontal="right" shrinkToFit="0" vertical="center" wrapText="1"/>
    </xf>
    <xf borderId="64" fillId="0" fontId="2" numFmtId="0" xfId="0" applyAlignment="1" applyBorder="1" applyFont="1">
      <alignment horizontal="left" readingOrder="0" vertical="center"/>
    </xf>
    <xf borderId="65" fillId="5" fontId="7" numFmtId="0" xfId="0" applyAlignment="1" applyBorder="1" applyFont="1">
      <alignment horizontal="right" vertical="top"/>
    </xf>
    <xf borderId="66" fillId="5" fontId="7" numFmtId="0" xfId="0" applyAlignment="1" applyBorder="1" applyFont="1">
      <alignment horizontal="left" readingOrder="0" vertical="top"/>
    </xf>
    <xf borderId="67" fillId="0" fontId="5" numFmtId="0" xfId="0" applyBorder="1" applyFont="1"/>
    <xf borderId="68" fillId="7" fontId="8" numFmtId="164" xfId="0" applyAlignment="1" applyBorder="1" applyFont="1" applyNumberFormat="1">
      <alignment horizontal="right" shrinkToFit="0" vertical="center" wrapText="1"/>
    </xf>
    <xf borderId="69" fillId="7" fontId="8" numFmtId="164" xfId="0" applyAlignment="1" applyBorder="1" applyFont="1" applyNumberFormat="1">
      <alignment horizontal="right" shrinkToFit="0" vertical="center" wrapText="1"/>
    </xf>
    <xf borderId="70" fillId="7" fontId="8" numFmtId="0" xfId="0" applyAlignment="1" applyBorder="1" applyFont="1">
      <alignment horizontal="right" shrinkToFit="0" vertical="center" wrapText="1"/>
    </xf>
    <xf borderId="71" fillId="7" fontId="8" numFmtId="0" xfId="0" applyAlignment="1" applyBorder="1" applyFont="1">
      <alignment horizontal="left" readingOrder="0" shrinkToFit="0" vertical="center" wrapText="1"/>
    </xf>
    <xf borderId="72" fillId="5" fontId="18" numFmtId="0" xfId="0" applyAlignment="1" applyBorder="1" applyFont="1">
      <alignment vertical="top"/>
    </xf>
    <xf borderId="73" fillId="0" fontId="5" numFmtId="0" xfId="0" applyBorder="1" applyFont="1"/>
    <xf borderId="74" fillId="7" fontId="9" numFmtId="9" xfId="0" applyAlignment="1" applyBorder="1" applyFont="1" applyNumberFormat="1">
      <alignment horizontal="center" readingOrder="0" vertical="center"/>
    </xf>
    <xf borderId="72" fillId="7" fontId="18" numFmtId="164" xfId="0" applyAlignment="1" applyBorder="1" applyFont="1" applyNumberFormat="1">
      <alignment horizontal="right" shrinkToFit="0" vertical="center" wrapText="1"/>
    </xf>
    <xf borderId="75" fillId="7" fontId="18" numFmtId="164" xfId="0" applyAlignment="1" applyBorder="1" applyFont="1" applyNumberFormat="1">
      <alignment horizontal="right" shrinkToFit="0" vertical="center" wrapText="1"/>
    </xf>
    <xf borderId="42" fillId="7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vertical="top"/>
    </xf>
    <xf borderId="0" fillId="0" fontId="4" numFmtId="165" xfId="0" applyAlignment="1" applyFont="1" applyNumberFormat="1">
      <alignment horizontal="right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164" xfId="0" applyFont="1" applyNumberFormat="1"/>
    <xf borderId="76" fillId="5" fontId="4" numFmtId="0" xfId="0" applyAlignment="1" applyBorder="1" applyFont="1">
      <alignment horizontal="center" shrinkToFit="0" vertical="center" wrapText="1"/>
    </xf>
    <xf borderId="77" fillId="5" fontId="4" numFmtId="0" xfId="0" applyAlignment="1" applyBorder="1" applyFont="1">
      <alignment horizontal="center" shrinkToFit="0" vertical="center" wrapText="1"/>
    </xf>
    <xf borderId="78" fillId="5" fontId="4" numFmtId="0" xfId="0" applyAlignment="1" applyBorder="1" applyFont="1">
      <alignment horizontal="center" shrinkToFit="0" vertical="center" wrapText="1"/>
    </xf>
    <xf borderId="79" fillId="8" fontId="19" numFmtId="0" xfId="0" applyAlignment="1" applyBorder="1" applyFont="1">
      <alignment horizontal="left" vertical="top"/>
    </xf>
    <xf borderId="80" fillId="7" fontId="2" numFmtId="164" xfId="0" applyAlignment="1" applyBorder="1" applyFont="1" applyNumberFormat="1">
      <alignment vertical="center"/>
    </xf>
    <xf borderId="81" fillId="7" fontId="2" numFmtId="164" xfId="0" applyAlignment="1" applyBorder="1" applyFont="1" applyNumberFormat="1">
      <alignment vertical="center"/>
    </xf>
    <xf borderId="79" fillId="8" fontId="2" numFmtId="0" xfId="0" applyAlignment="1" applyBorder="1" applyFont="1">
      <alignment horizontal="left" vertical="top"/>
    </xf>
    <xf borderId="80" fillId="4" fontId="2" numFmtId="164" xfId="0" applyAlignment="1" applyBorder="1" applyFont="1" applyNumberFormat="1">
      <alignment vertical="center"/>
    </xf>
    <xf borderId="81" fillId="4" fontId="2" numFmtId="164" xfId="0" applyAlignment="1" applyBorder="1" applyFont="1" applyNumberFormat="1">
      <alignment vertical="center"/>
    </xf>
    <xf borderId="81" fillId="4" fontId="2" numFmtId="164" xfId="0" applyAlignment="1" applyBorder="1" applyFont="1" applyNumberFormat="1">
      <alignment readingOrder="0" vertical="center"/>
    </xf>
    <xf borderId="0" fillId="0" fontId="20" numFmtId="0" xfId="0" applyFont="1"/>
    <xf borderId="82" fillId="8" fontId="2" numFmtId="0" xfId="0" applyAlignment="1" applyBorder="1" applyFont="1">
      <alignment horizontal="left" vertical="top"/>
    </xf>
    <xf borderId="83" fillId="4" fontId="2" numFmtId="164" xfId="0" applyAlignment="1" applyBorder="1" applyFont="1" applyNumberFormat="1">
      <alignment vertical="center"/>
    </xf>
    <xf borderId="84" fillId="4" fontId="2" numFmtId="164" xfId="0" applyAlignment="1" applyBorder="1" applyFont="1" applyNumberFormat="1">
      <alignment readingOrder="0" vertical="center"/>
    </xf>
    <xf borderId="72" fillId="0" fontId="7" numFmtId="0" xfId="0" applyAlignment="1" applyBorder="1" applyFont="1">
      <alignment horizontal="left" vertical="top"/>
    </xf>
    <xf borderId="73" fillId="7" fontId="7" numFmtId="164" xfId="0" applyAlignment="1" applyBorder="1" applyFont="1" applyNumberFormat="1">
      <alignment vertical="center"/>
    </xf>
    <xf borderId="85" fillId="7" fontId="7" numFmtId="164" xfId="0" applyAlignment="1" applyBorder="1" applyFont="1" applyNumberFormat="1">
      <alignment vertical="center"/>
    </xf>
    <xf borderId="86" fillId="7" fontId="7" numFmtId="164" xfId="0" applyAlignment="1" applyBorder="1" applyFont="1" applyNumberFormat="1">
      <alignment vertical="center"/>
    </xf>
    <xf borderId="0" fillId="0" fontId="21" numFmtId="0" xfId="0" applyFont="1"/>
    <xf borderId="87" fillId="0" fontId="2" numFmtId="0" xfId="0" applyAlignment="1" applyBorder="1" applyFont="1">
      <alignment vertical="top"/>
    </xf>
    <xf borderId="87" fillId="7" fontId="2" numFmtId="164" xfId="0" applyAlignment="1" applyBorder="1" applyFont="1" applyNumberFormat="1">
      <alignment vertical="center"/>
    </xf>
    <xf borderId="87" fillId="7" fontId="2" numFmtId="164" xfId="0" applyAlignment="1" applyBorder="1" applyFont="1" applyNumberFormat="1">
      <alignment readingOrder="0" vertical="center"/>
    </xf>
    <xf borderId="88" fillId="7" fontId="2" numFmtId="0" xfId="0" applyAlignment="1" applyBorder="1" applyFont="1">
      <alignment vertical="top"/>
    </xf>
    <xf borderId="87" fillId="7" fontId="2" numFmtId="2" xfId="0" applyAlignment="1" applyBorder="1" applyFont="1" applyNumberFormat="1">
      <alignment vertical="center"/>
    </xf>
    <xf borderId="87" fillId="4" fontId="7" numFmtId="9" xfId="0" applyAlignment="1" applyBorder="1" applyFont="1" applyNumberFormat="1">
      <alignment horizontal="center" vertical="top"/>
    </xf>
    <xf borderId="0" fillId="0" fontId="4" numFmtId="0" xfId="0" applyAlignment="1" applyFont="1">
      <alignment vertical="top"/>
    </xf>
    <xf borderId="89" fillId="0" fontId="2" numFmtId="0" xfId="0" applyAlignment="1" applyBorder="1" applyFont="1">
      <alignment vertical="top"/>
    </xf>
    <xf borderId="89" fillId="7" fontId="2" numFmtId="164" xfId="0" applyAlignment="1" applyBorder="1" applyFont="1" applyNumberFormat="1">
      <alignment vertical="center"/>
    </xf>
    <xf borderId="90" fillId="7" fontId="2" numFmtId="164" xfId="0" applyAlignment="1" applyBorder="1" applyFont="1" applyNumberFormat="1">
      <alignment vertical="center"/>
    </xf>
    <xf borderId="0" fillId="0" fontId="22" numFmtId="0" xfId="0" applyFont="1"/>
    <xf borderId="91" fillId="0" fontId="7" numFmtId="0" xfId="0" applyAlignment="1" applyBorder="1" applyFont="1">
      <alignment vertical="center"/>
    </xf>
    <xf borderId="92" fillId="7" fontId="7" numFmtId="164" xfId="0" applyAlignment="1" applyBorder="1" applyFont="1" applyNumberFormat="1">
      <alignment vertical="center"/>
    </xf>
    <xf borderId="93" fillId="7" fontId="7" numFmtId="164" xfId="0" applyAlignment="1" applyBorder="1" applyFont="1" applyNumberFormat="1">
      <alignment vertical="center"/>
    </xf>
    <xf borderId="0" fillId="0" fontId="2" numFmtId="165" xfId="0" applyFont="1" applyNumberFormat="1"/>
    <xf borderId="94" fillId="8" fontId="23" numFmtId="0" xfId="0" applyAlignment="1" applyBorder="1" applyFont="1">
      <alignment vertical="top"/>
    </xf>
    <xf borderId="95" fillId="8" fontId="24" numFmtId="0" xfId="0" applyAlignment="1" applyBorder="1" applyFont="1">
      <alignment vertical="top"/>
    </xf>
    <xf borderId="96" fillId="8" fontId="24" numFmtId="0" xfId="0" applyAlignment="1" applyBorder="1" applyFont="1">
      <alignment vertical="top"/>
    </xf>
    <xf borderId="97" fillId="8" fontId="2" numFmtId="0" xfId="0" applyAlignment="1" applyBorder="1" applyFont="1">
      <alignment vertical="top"/>
    </xf>
    <xf borderId="98" fillId="7" fontId="2" numFmtId="164" xfId="0" applyAlignment="1" applyBorder="1" applyFont="1" applyNumberFormat="1">
      <alignment vertical="center"/>
    </xf>
    <xf borderId="98" fillId="7" fontId="2" numFmtId="2" xfId="0" applyAlignment="1" applyBorder="1" applyFont="1" applyNumberFormat="1">
      <alignment vertical="center"/>
    </xf>
    <xf borderId="90" fillId="7" fontId="2" numFmtId="2" xfId="0" applyAlignment="1" applyBorder="1" applyFont="1" applyNumberFormat="1">
      <alignment vertical="center"/>
    </xf>
    <xf borderId="99" fillId="8" fontId="7" numFmtId="0" xfId="0" applyAlignment="1" applyBorder="1" applyFont="1">
      <alignment vertical="center"/>
    </xf>
    <xf borderId="0" fillId="0" fontId="25" numFmtId="0" xfId="0" applyAlignment="1" applyFont="1">
      <alignment horizontal="left"/>
    </xf>
    <xf borderId="0" fillId="0" fontId="25" numFmtId="0" xfId="0" applyAlignment="1" applyFont="1">
      <alignment horizontal="center"/>
    </xf>
    <xf borderId="0" fillId="0" fontId="25" numFmtId="0" xfId="0" applyFont="1"/>
    <xf borderId="100" fillId="5" fontId="26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readingOrder="0"/>
    </xf>
    <xf borderId="91" fillId="5" fontId="26" numFmtId="0" xfId="0" applyAlignment="1" applyBorder="1" applyFont="1">
      <alignment horizontal="center" shrinkToFit="0" vertical="center" wrapText="1"/>
    </xf>
    <xf borderId="0" fillId="0" fontId="27" numFmtId="0" xfId="0" applyFont="1"/>
    <xf borderId="0" fillId="5" fontId="26" numFmtId="0" xfId="0" applyAlignment="1" applyFont="1">
      <alignment horizontal="center" shrinkToFit="0" vertical="center" wrapText="1"/>
    </xf>
    <xf borderId="0" fillId="5" fontId="26" numFmtId="0" xfId="0" applyAlignment="1" applyFont="1">
      <alignment horizontal="center" readingOrder="0" shrinkToFit="0" vertical="center" wrapText="1"/>
    </xf>
    <xf borderId="37" fillId="4" fontId="2" numFmtId="0" xfId="0" applyAlignment="1" applyBorder="1" applyFont="1">
      <alignment readingOrder="0"/>
    </xf>
    <xf borderId="0" fillId="11" fontId="27" numFmtId="9" xfId="0" applyFill="1" applyFont="1" applyNumberFormat="1"/>
    <xf borderId="101" fillId="12" fontId="10" numFmtId="0" xfId="0" applyAlignment="1" applyBorder="1" applyFill="1" applyFont="1">
      <alignment horizontal="center" shrinkToFit="0" vertical="center" wrapText="1"/>
    </xf>
    <xf borderId="102" fillId="12" fontId="10" numFmtId="0" xfId="0" applyAlignment="1" applyBorder="1" applyFont="1">
      <alignment horizontal="center" readingOrder="0" shrinkToFit="0" vertical="center" wrapText="1"/>
    </xf>
    <xf borderId="103" fillId="12" fontId="10" numFmtId="0" xfId="0" applyAlignment="1" applyBorder="1" applyFont="1">
      <alignment horizontal="center" readingOrder="0" shrinkToFit="0" vertical="center" wrapText="1"/>
    </xf>
    <xf borderId="103" fillId="12" fontId="10" numFmtId="0" xfId="0" applyAlignment="1" applyBorder="1" applyFont="1">
      <alignment horizontal="center" shrinkToFit="0" vertical="center" wrapText="1"/>
    </xf>
    <xf borderId="0" fillId="12" fontId="2" numFmtId="0" xfId="0" applyFont="1"/>
    <xf borderId="104" fillId="5" fontId="26" numFmtId="0" xfId="0" applyAlignment="1" applyBorder="1" applyFont="1">
      <alignment horizontal="center" shrinkToFit="0" vertical="center" wrapText="1"/>
    </xf>
    <xf borderId="105" fillId="5" fontId="26" numFmtId="0" xfId="0" applyAlignment="1" applyBorder="1" applyFont="1">
      <alignment horizontal="center" shrinkToFit="0" vertical="center" wrapText="1"/>
    </xf>
    <xf borderId="106" fillId="5" fontId="26" numFmtId="0" xfId="0" applyAlignment="1" applyBorder="1" applyFont="1">
      <alignment horizontal="center" shrinkToFit="0" vertical="center" wrapText="1"/>
    </xf>
    <xf borderId="107" fillId="5" fontId="26" numFmtId="0" xfId="0" applyAlignment="1" applyBorder="1" applyFont="1">
      <alignment horizontal="center" readingOrder="0" shrinkToFit="0" vertical="center" wrapText="1"/>
    </xf>
    <xf borderId="108" fillId="5" fontId="26" numFmtId="0" xfId="0" applyAlignment="1" applyBorder="1" applyFont="1">
      <alignment horizontal="center" readingOrder="0" shrinkToFit="0" vertical="center" wrapText="1"/>
    </xf>
    <xf borderId="109" fillId="5" fontId="26" numFmtId="0" xfId="0" applyAlignment="1" applyBorder="1" applyFont="1">
      <alignment horizontal="center" readingOrder="0" shrinkToFit="0" vertical="center" wrapText="1"/>
    </xf>
    <xf borderId="110" fillId="5" fontId="26" numFmtId="0" xfId="0" applyAlignment="1" applyBorder="1" applyFont="1">
      <alignment horizontal="center" readingOrder="0" shrinkToFit="0" vertical="center" wrapText="1"/>
    </xf>
    <xf borderId="1" fillId="6" fontId="26" numFmtId="0" xfId="0" applyAlignment="1" applyBorder="1" applyFont="1">
      <alignment horizontal="center" readingOrder="0" shrinkToFit="0" vertical="center" wrapText="1"/>
    </xf>
    <xf borderId="1" fillId="6" fontId="28" numFmtId="0" xfId="0" applyAlignment="1" applyBorder="1" applyFont="1">
      <alignment horizontal="left" readingOrder="0" shrinkToFit="0" vertical="center" wrapText="1"/>
    </xf>
    <xf borderId="1" fillId="6" fontId="16" numFmtId="0" xfId="0" applyAlignment="1" applyBorder="1" applyFont="1">
      <alignment readingOrder="0"/>
    </xf>
    <xf borderId="1" fillId="6" fontId="29" numFmtId="1" xfId="0" applyAlignment="1" applyBorder="1" applyFont="1" applyNumberFormat="1">
      <alignment horizontal="center" readingOrder="0" shrinkToFit="0" vertical="center" wrapText="1"/>
    </xf>
    <xf borderId="1" fillId="6" fontId="16" numFmtId="0" xfId="0" applyAlignment="1" applyBorder="1" applyFont="1">
      <alignment horizontal="left" readingOrder="0" shrinkToFit="0" vertical="center" wrapText="1"/>
    </xf>
    <xf borderId="1" fillId="6" fontId="29" numFmtId="0" xfId="0" applyAlignment="1" applyBorder="1" applyFont="1">
      <alignment horizontal="center" readingOrder="0" shrinkToFit="0" vertical="center" wrapText="1"/>
    </xf>
    <xf borderId="1" fillId="6" fontId="16" numFmtId="1" xfId="0" applyAlignment="1" applyBorder="1" applyFont="1" applyNumberFormat="1">
      <alignment horizontal="center" readingOrder="0" shrinkToFit="0" vertical="center" wrapText="1"/>
    </xf>
    <xf borderId="1" fillId="4" fontId="16" numFmtId="0" xfId="0" applyAlignment="1" applyBorder="1" applyFont="1">
      <alignment horizontal="center" readingOrder="0" shrinkToFit="0" vertical="center" wrapText="1"/>
    </xf>
    <xf borderId="1" fillId="6" fontId="16" numFmtId="166" xfId="0" applyAlignment="1" applyBorder="1" applyFont="1" applyNumberFormat="1">
      <alignment horizontal="center" shrinkToFit="0" vertical="center" wrapText="1"/>
    </xf>
    <xf borderId="1" fillId="6" fontId="30" numFmtId="166" xfId="0" applyAlignment="1" applyBorder="1" applyFont="1" applyNumberFormat="1">
      <alignment horizontal="center" readingOrder="0" shrinkToFit="0" vertical="center" wrapText="1"/>
    </xf>
    <xf borderId="1" fillId="6" fontId="2" numFmtId="0" xfId="0" applyBorder="1" applyFont="1"/>
    <xf borderId="1" fillId="4" fontId="31" numFmtId="0" xfId="0" applyAlignment="1" applyBorder="1" applyFont="1">
      <alignment horizontal="center" readingOrder="0" vertical="center"/>
    </xf>
    <xf borderId="1" fillId="6" fontId="2" numFmtId="167" xfId="0" applyBorder="1" applyFont="1" applyNumberFormat="1"/>
    <xf borderId="1" fillId="0" fontId="2" numFmtId="0" xfId="0" applyAlignment="1" applyBorder="1" applyFont="1">
      <alignment readingOrder="0"/>
    </xf>
    <xf borderId="1" fillId="6" fontId="16" numFmtId="49" xfId="0" applyAlignment="1" applyBorder="1" applyFont="1" applyNumberFormat="1">
      <alignment horizontal="center" shrinkToFit="0" vertical="center" wrapText="1"/>
    </xf>
    <xf borderId="1" fillId="6" fontId="29" numFmtId="0" xfId="0" applyAlignment="1" applyBorder="1" applyFont="1">
      <alignment horizontal="left" readingOrder="0" shrinkToFit="0" vertical="center" wrapText="0"/>
    </xf>
    <xf borderId="1" fillId="4" fontId="29" numFmtId="0" xfId="0" applyAlignment="1" applyBorder="1" applyFont="1">
      <alignment horizontal="center" readingOrder="0" shrinkToFit="0" vertical="center" wrapText="1"/>
    </xf>
    <xf borderId="1" fillId="6" fontId="27" numFmtId="0" xfId="0" applyAlignment="1" applyBorder="1" applyFont="1">
      <alignment horizontal="center"/>
    </xf>
    <xf borderId="1" fillId="6" fontId="32" numFmtId="0" xfId="0" applyAlignment="1" applyBorder="1" applyFont="1">
      <alignment horizontal="center" readingOrder="0"/>
    </xf>
    <xf borderId="1" fillId="6" fontId="16" numFmtId="0" xfId="0" applyBorder="1" applyFont="1"/>
    <xf borderId="1" fillId="6" fontId="29" numFmtId="1" xfId="0" applyAlignment="1" applyBorder="1" applyFont="1" applyNumberFormat="1">
      <alignment horizontal="center" shrinkToFit="0" vertical="center" wrapText="1"/>
    </xf>
    <xf borderId="1" fillId="6" fontId="16" numFmtId="0" xfId="0" applyAlignment="1" applyBorder="1" applyFont="1">
      <alignment horizontal="left" shrinkToFit="0" vertical="center" wrapText="1"/>
    </xf>
    <xf borderId="1" fillId="6" fontId="29" numFmtId="0" xfId="0" applyAlignment="1" applyBorder="1" applyFont="1">
      <alignment horizontal="left" readingOrder="0" shrinkToFit="0" vertical="center" wrapText="1"/>
    </xf>
    <xf borderId="1" fillId="6" fontId="29" numFmtId="1" xfId="0" applyAlignment="1" applyBorder="1" applyFont="1" applyNumberFormat="1">
      <alignment horizontal="left" shrinkToFit="0" vertical="center" wrapText="1"/>
    </xf>
    <xf borderId="1" fillId="6" fontId="29" numFmtId="0" xfId="0" applyAlignment="1" applyBorder="1" applyFont="1">
      <alignment horizontal="left" shrinkToFit="0" vertical="center" wrapText="1"/>
    </xf>
    <xf borderId="1" fillId="6" fontId="29" numFmtId="1" xfId="0" applyAlignment="1" applyBorder="1" applyFont="1" applyNumberFormat="1">
      <alignment horizontal="left" readingOrder="0" shrinkToFit="0" vertical="center" wrapText="1"/>
    </xf>
    <xf borderId="1" fillId="6" fontId="27" numFmtId="0" xfId="0" applyAlignment="1" applyBorder="1" applyFont="1">
      <alignment horizontal="center" readingOrder="0"/>
    </xf>
    <xf borderId="1" fillId="13" fontId="16" numFmtId="0" xfId="0" applyAlignment="1" applyBorder="1" applyFill="1" applyFont="1">
      <alignment readingOrder="0"/>
    </xf>
    <xf borderId="1" fillId="13" fontId="28" numFmtId="0" xfId="0" applyAlignment="1" applyBorder="1" applyFont="1">
      <alignment horizontal="left" readingOrder="0" shrinkToFit="0" vertical="center" wrapText="1"/>
    </xf>
    <xf borderId="1" fillId="13" fontId="29" numFmtId="1" xfId="0" applyAlignment="1" applyBorder="1" applyFont="1" applyNumberFormat="1">
      <alignment horizontal="center" readingOrder="0" shrinkToFit="0" vertical="center" wrapText="1"/>
    </xf>
    <xf borderId="1" fillId="13" fontId="16" numFmtId="0" xfId="0" applyAlignment="1" applyBorder="1" applyFont="1">
      <alignment horizontal="left" readingOrder="0" shrinkToFit="0" vertical="center" wrapText="1"/>
    </xf>
    <xf borderId="1" fillId="13" fontId="26" numFmtId="0" xfId="0" applyAlignment="1" applyBorder="1" applyFont="1">
      <alignment horizontal="left" shrinkToFit="0" vertical="center" wrapText="1"/>
    </xf>
    <xf borderId="1" fillId="13" fontId="26" numFmtId="0" xfId="0" applyAlignment="1" applyBorder="1" applyFont="1">
      <alignment horizontal="center" shrinkToFit="0" vertical="center" wrapText="1"/>
    </xf>
    <xf borderId="1" fillId="13" fontId="16" numFmtId="166" xfId="0" applyAlignment="1" applyBorder="1" applyFont="1" applyNumberFormat="1">
      <alignment horizontal="center" shrinkToFit="0" vertical="center" wrapText="1"/>
    </xf>
    <xf borderId="1" fillId="13" fontId="30" numFmtId="166" xfId="0" applyAlignment="1" applyBorder="1" applyFont="1" applyNumberFormat="1">
      <alignment horizontal="center" readingOrder="0" shrinkToFit="0" vertical="center" wrapText="1"/>
    </xf>
    <xf borderId="1" fillId="5" fontId="16" numFmtId="0" xfId="0" applyAlignment="1" applyBorder="1" applyFont="1">
      <alignment readingOrder="0"/>
    </xf>
    <xf borderId="1" fillId="5" fontId="28" numFmtId="0" xfId="0" applyAlignment="1" applyBorder="1" applyFont="1">
      <alignment horizontal="left" readingOrder="0" shrinkToFit="0" vertical="center" wrapText="1"/>
    </xf>
    <xf borderId="1" fillId="5" fontId="29" numFmtId="1" xfId="0" applyAlignment="1" applyBorder="1" applyFont="1" applyNumberFormat="1">
      <alignment horizontal="center" readingOrder="0" shrinkToFit="0" vertical="center" wrapText="1"/>
    </xf>
    <xf borderId="1" fillId="5" fontId="16" numFmtId="0" xfId="0" applyAlignment="1" applyBorder="1" applyFont="1">
      <alignment horizontal="left" readingOrder="0" shrinkToFit="0" vertical="center" wrapText="1"/>
    </xf>
    <xf borderId="1" fillId="5" fontId="16" numFmtId="0" xfId="0" applyBorder="1" applyFont="1"/>
    <xf borderId="1" fillId="5" fontId="16" numFmtId="166" xfId="0" applyAlignment="1" applyBorder="1" applyFont="1" applyNumberFormat="1">
      <alignment horizontal="center" shrinkToFit="0" vertical="center" wrapText="1"/>
    </xf>
    <xf borderId="1" fillId="5" fontId="30" numFmtId="166" xfId="0" applyAlignment="1" applyBorder="1" applyFont="1" applyNumberFormat="1">
      <alignment horizontal="center" readingOrder="0" shrinkToFit="0" vertical="center" wrapText="1"/>
    </xf>
    <xf borderId="1" fillId="13" fontId="26" numFmtId="0" xfId="0" applyAlignment="1" applyBorder="1" applyFont="1">
      <alignment horizontal="center" readingOrder="0" shrinkToFit="0" vertical="center" wrapText="1"/>
    </xf>
    <xf borderId="1" fillId="13" fontId="16" numFmtId="0" xfId="0" applyBorder="1" applyFont="1"/>
    <xf borderId="1" fillId="13" fontId="16" numFmtId="0" xfId="0" applyAlignment="1" applyBorder="1" applyFont="1">
      <alignment readingOrder="0" shrinkToFit="0" vertical="center" wrapText="1"/>
    </xf>
    <xf borderId="1" fillId="13" fontId="16" numFmtId="0" xfId="0" applyAlignment="1" applyBorder="1" applyFont="1">
      <alignment horizontal="center" shrinkToFit="0" vertical="center" wrapText="1"/>
    </xf>
    <xf borderId="1" fillId="13" fontId="16" numFmtId="0" xfId="0" applyBorder="1" applyFont="1"/>
    <xf borderId="1" fillId="5" fontId="16" numFmtId="49" xfId="0" applyAlignment="1" applyBorder="1" applyFont="1" applyNumberFormat="1">
      <alignment horizontal="center" shrinkToFit="0" vertical="center" wrapText="1"/>
    </xf>
    <xf borderId="1" fillId="5" fontId="28" numFmtId="0" xfId="0" applyAlignment="1" applyBorder="1" applyFont="1">
      <alignment horizontal="left" shrinkToFit="0" vertical="center" wrapText="1"/>
    </xf>
    <xf borderId="1" fillId="5" fontId="33" numFmtId="0" xfId="0" applyAlignment="1" applyBorder="1" applyFont="1">
      <alignment readingOrder="0"/>
    </xf>
    <xf borderId="1" fillId="5" fontId="33" numFmtId="0" xfId="0" applyAlignment="1" applyBorder="1" applyFont="1">
      <alignment horizontal="center" readingOrder="0"/>
    </xf>
    <xf borderId="1" fillId="5" fontId="16" numFmtId="0" xfId="0" applyAlignment="1" applyBorder="1" applyFont="1">
      <alignment readingOrder="0" shrinkToFit="0" wrapText="1"/>
    </xf>
    <xf borderId="1" fillId="5" fontId="16" numFmtId="0" xfId="0" applyAlignment="1" applyBorder="1" applyFont="1">
      <alignment horizontal="center" shrinkToFit="0" wrapText="1"/>
    </xf>
    <xf borderId="1" fillId="5" fontId="16" numFmtId="1" xfId="0" applyAlignment="1" applyBorder="1" applyFont="1" applyNumberFormat="1">
      <alignment horizontal="center" readingOrder="0" shrinkToFit="0" wrapText="1"/>
    </xf>
    <xf borderId="1" fillId="5" fontId="33" numFmtId="0" xfId="0" applyAlignment="1" applyBorder="1" applyFont="1">
      <alignment readingOrder="0" shrinkToFit="0" wrapText="1"/>
    </xf>
    <xf borderId="1" fillId="13" fontId="16" numFmtId="49" xfId="0" applyAlignment="1" applyBorder="1" applyFont="1" applyNumberFormat="1">
      <alignment horizontal="center" shrinkToFit="0" vertical="center" wrapText="1"/>
    </xf>
    <xf borderId="1" fillId="13" fontId="28" numFmtId="0" xfId="0" applyAlignment="1" applyBorder="1" applyFont="1">
      <alignment horizontal="left" shrinkToFit="0" vertical="center" wrapText="1"/>
    </xf>
    <xf borderId="1" fillId="13" fontId="33" numFmtId="0" xfId="0" applyAlignment="1" applyBorder="1" applyFont="1">
      <alignment readingOrder="0"/>
    </xf>
    <xf borderId="1" fillId="13" fontId="33" numFmtId="0" xfId="0" applyAlignment="1" applyBorder="1" applyFont="1">
      <alignment horizontal="center" readingOrder="0"/>
    </xf>
    <xf borderId="1" fillId="13" fontId="16" numFmtId="0" xfId="0" applyAlignment="1" applyBorder="1" applyFont="1">
      <alignment readingOrder="0" shrinkToFit="0" wrapText="1"/>
    </xf>
    <xf borderId="1" fillId="13" fontId="16" numFmtId="0" xfId="0" applyAlignment="1" applyBorder="1" applyFont="1">
      <alignment horizontal="center" shrinkToFit="0" wrapText="1"/>
    </xf>
    <xf borderId="1" fillId="13" fontId="16" numFmtId="1" xfId="0" applyAlignment="1" applyBorder="1" applyFont="1" applyNumberFormat="1">
      <alignment horizontal="center" readingOrder="0" shrinkToFit="0" wrapText="1"/>
    </xf>
    <xf borderId="1" fillId="13" fontId="33" numFmtId="0" xfId="0" applyAlignment="1" applyBorder="1" applyFont="1">
      <alignment shrinkToFit="0" wrapText="1"/>
    </xf>
    <xf borderId="1" fillId="13" fontId="33" numFmtId="0" xfId="0" applyAlignment="1" applyBorder="1" applyFont="1">
      <alignment readingOrder="0" shrinkToFit="0" wrapText="1"/>
    </xf>
    <xf borderId="1" fillId="5" fontId="33" numFmtId="0" xfId="0" applyAlignment="1" applyBorder="1" applyFont="1">
      <alignment shrinkToFit="0" wrapText="1"/>
    </xf>
    <xf borderId="1" fillId="13" fontId="16" numFmtId="0" xfId="0" applyAlignment="1" applyBorder="1" applyFont="1">
      <alignment horizontal="center" readingOrder="0" shrinkToFit="0" vertical="center" wrapText="1"/>
    </xf>
    <xf borderId="1" fillId="13" fontId="16" numFmtId="0" xfId="0" applyAlignment="1" applyBorder="1" applyFont="1">
      <alignment shrinkToFit="0" wrapText="1"/>
    </xf>
    <xf borderId="1" fillId="13" fontId="16" numFmtId="0" xfId="0" applyAlignment="1" applyBorder="1" applyFont="1">
      <alignment shrinkToFit="0" wrapText="1"/>
    </xf>
    <xf borderId="1" fillId="5" fontId="16" numFmtId="0" xfId="0" applyAlignment="1" applyBorder="1" applyFont="1">
      <alignment shrinkToFit="0" wrapText="1"/>
    </xf>
    <xf borderId="1" fillId="13" fontId="16" numFmtId="0" xfId="0" applyAlignment="1" applyBorder="1" applyFont="1">
      <alignment shrinkToFit="0" vertical="center" wrapText="1"/>
    </xf>
    <xf borderId="1" fillId="5" fontId="16" numFmtId="0" xfId="0" applyAlignment="1" applyBorder="1" applyFont="1">
      <alignment shrinkToFit="0" vertical="center" wrapText="1"/>
    </xf>
    <xf borderId="1" fillId="5" fontId="16" numFmtId="0" xfId="0" applyAlignment="1" applyBorder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1" fillId="5" fontId="16" numFmtId="0" xfId="0" applyBorder="1" applyFont="1"/>
    <xf borderId="1" fillId="5" fontId="16" numFmtId="1" xfId="0" applyAlignment="1" applyBorder="1" applyFont="1" applyNumberFormat="1">
      <alignment shrinkToFit="0" wrapText="1"/>
    </xf>
    <xf borderId="1" fillId="5" fontId="16" numFmtId="0" xfId="0" applyBorder="1" applyFont="1"/>
    <xf borderId="1" fillId="6" fontId="2" numFmtId="1" xfId="0" applyBorder="1" applyFont="1" applyNumberFormat="1"/>
    <xf borderId="1" fillId="13" fontId="16" numFmtId="1" xfId="0" applyAlignment="1" applyBorder="1" applyFont="1" applyNumberFormat="1">
      <alignment shrinkToFit="0" wrapText="1"/>
    </xf>
    <xf borderId="1" fillId="5" fontId="26" numFmtId="0" xfId="0" applyAlignment="1" applyBorder="1" applyFont="1">
      <alignment horizontal="center" readingOrder="0" shrinkToFit="0" vertical="center" wrapText="1"/>
    </xf>
    <xf borderId="1" fillId="5" fontId="29" numFmtId="1" xfId="0" applyAlignment="1" applyBorder="1" applyFont="1" applyNumberFormat="1">
      <alignment horizontal="left" readingOrder="0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1" fillId="5" fontId="16" numFmtId="1" xfId="0" applyAlignment="1" applyBorder="1" applyFont="1" applyNumberFormat="1">
      <alignment readingOrder="0" shrinkToFit="0" wrapText="1"/>
    </xf>
    <xf borderId="1" fillId="13" fontId="16" numFmtId="1" xfId="0" applyAlignment="1" applyBorder="1" applyFont="1" applyNumberFormat="1">
      <alignment readingOrder="0" shrinkToFit="0" wrapText="1"/>
    </xf>
    <xf borderId="1" fillId="5" fontId="26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readingOrder="0" shrinkToFit="0" vertical="center" wrapText="1"/>
    </xf>
    <xf borderId="1" fillId="5" fontId="29" numFmtId="0" xfId="0" applyAlignment="1" applyBorder="1" applyFont="1">
      <alignment horizontal="left" shrinkToFit="0" vertical="center" wrapText="1"/>
    </xf>
    <xf borderId="1" fillId="5" fontId="16" numFmtId="0" xfId="0" applyAlignment="1" applyBorder="1" applyFont="1">
      <alignment horizontal="center" readingOrder="0" shrinkToFit="0" vertical="center" wrapText="1"/>
    </xf>
    <xf borderId="1" fillId="5" fontId="29" numFmtId="1" xfId="0" applyAlignment="1" applyBorder="1" applyFont="1" applyNumberFormat="1">
      <alignment horizontal="left" shrinkToFit="0" vertical="center" wrapText="1"/>
    </xf>
    <xf borderId="1" fillId="13" fontId="29" numFmtId="0" xfId="0" applyAlignment="1" applyBorder="1" applyFont="1">
      <alignment horizontal="left" shrinkToFit="0" vertical="center" wrapText="1"/>
    </xf>
    <xf borderId="1" fillId="13" fontId="29" numFmtId="1" xfId="0" applyAlignment="1" applyBorder="1" applyFont="1" applyNumberFormat="1">
      <alignment horizontal="left" shrinkToFit="0" vertical="center" wrapText="1"/>
    </xf>
    <xf borderId="111" fillId="13" fontId="26" numFmtId="0" xfId="0" applyAlignment="1" applyBorder="1" applyFont="1">
      <alignment horizontal="center" readingOrder="0" shrinkToFit="0" vertical="center" wrapText="1"/>
    </xf>
    <xf borderId="112" fillId="13" fontId="28" numFmtId="0" xfId="0" applyAlignment="1" applyBorder="1" applyFont="1">
      <alignment horizontal="left" readingOrder="0" shrinkToFit="0" vertical="center" wrapText="1"/>
    </xf>
    <xf borderId="112" fillId="13" fontId="16" numFmtId="0" xfId="0" applyAlignment="1" applyBorder="1" applyFont="1">
      <alignment shrinkToFit="0" vertical="center" wrapText="1"/>
    </xf>
    <xf borderId="112" fillId="13" fontId="29" numFmtId="1" xfId="0" applyAlignment="1" applyBorder="1" applyFont="1" applyNumberFormat="1">
      <alignment horizontal="center" shrinkToFit="0" vertical="center" wrapText="1"/>
    </xf>
    <xf borderId="112" fillId="13" fontId="29" numFmtId="1" xfId="0" applyAlignment="1" applyBorder="1" applyFont="1" applyNumberFormat="1">
      <alignment horizontal="left" shrinkToFit="0" vertical="center" wrapText="1"/>
    </xf>
    <xf borderId="112" fillId="13" fontId="16" numFmtId="0" xfId="0" applyAlignment="1" applyBorder="1" applyFont="1">
      <alignment horizontal="center" readingOrder="0" shrinkToFit="0" vertical="center" wrapText="1"/>
    </xf>
    <xf borderId="112" fillId="13" fontId="29" numFmtId="1" xfId="0" applyAlignment="1" applyBorder="1" applyFont="1" applyNumberFormat="1">
      <alignment horizontal="center" readingOrder="0" shrinkToFit="0" vertical="center" wrapText="1"/>
    </xf>
    <xf borderId="113" fillId="13" fontId="29" numFmtId="1" xfId="0" applyAlignment="1" applyBorder="1" applyFont="1" applyNumberFormat="1">
      <alignment horizontal="left" shrinkToFit="0" vertical="center" wrapText="1"/>
    </xf>
    <xf borderId="113" fillId="13" fontId="34" numFmtId="166" xfId="0" applyAlignment="1" applyBorder="1" applyFont="1" applyNumberFormat="1">
      <alignment horizontal="center" shrinkToFit="0" vertical="center" wrapText="1"/>
    </xf>
    <xf borderId="114" fillId="13" fontId="34" numFmtId="166" xfId="0" applyAlignment="1" applyBorder="1" applyFont="1" applyNumberFormat="1">
      <alignment horizontal="center" readingOrder="0" shrinkToFit="0" vertical="center" wrapText="1"/>
    </xf>
    <xf borderId="0" fillId="6" fontId="2" numFmtId="0" xfId="0" applyFont="1"/>
    <xf borderId="0" fillId="6" fontId="27" numFmtId="0" xfId="0" applyAlignment="1" applyFont="1">
      <alignment horizontal="center" readingOrder="0"/>
    </xf>
    <xf borderId="115" fillId="6" fontId="2" numFmtId="167" xfId="0" applyBorder="1" applyFont="1" applyNumberFormat="1"/>
    <xf borderId="0" fillId="6" fontId="2" numFmtId="167" xfId="0" applyFont="1" applyNumberFormat="1"/>
    <xf borderId="116" fillId="6" fontId="2" numFmtId="167" xfId="0" applyBorder="1" applyFont="1" applyNumberFormat="1"/>
    <xf borderId="117" fillId="6" fontId="2" numFmtId="167" xfId="0" applyBorder="1" applyFont="1" applyNumberFormat="1"/>
    <xf borderId="60" fillId="6" fontId="2" numFmtId="0" xfId="0" applyBorder="1" applyFont="1"/>
    <xf borderId="118" fillId="6" fontId="2" numFmtId="0" xfId="0" applyBorder="1" applyFont="1"/>
    <xf borderId="119" fillId="5" fontId="2" numFmtId="49" xfId="0" applyAlignment="1" applyBorder="1" applyFont="1" applyNumberFormat="1">
      <alignment horizontal="center" shrinkToFit="0" vertical="center" wrapText="1"/>
    </xf>
    <xf borderId="120" fillId="5" fontId="35" numFmtId="0" xfId="0" applyAlignment="1" applyBorder="1" applyFont="1">
      <alignment horizontal="left" shrinkToFit="0" vertical="center" wrapText="1"/>
    </xf>
    <xf borderId="120" fillId="5" fontId="16" numFmtId="0" xfId="0" applyAlignment="1" applyBorder="1" applyFont="1">
      <alignment shrinkToFit="0" vertical="center" wrapText="1"/>
    </xf>
    <xf borderId="120" fillId="5" fontId="8" numFmtId="1" xfId="0" applyAlignment="1" applyBorder="1" applyFont="1" applyNumberFormat="1">
      <alignment horizontal="center" shrinkToFit="0" vertical="center" wrapText="1"/>
    </xf>
    <xf borderId="120" fillId="5" fontId="8" numFmtId="1" xfId="0" applyAlignment="1" applyBorder="1" applyFont="1" applyNumberFormat="1">
      <alignment horizontal="left" shrinkToFit="0" vertical="center" wrapText="1"/>
    </xf>
    <xf borderId="120" fillId="5" fontId="16" numFmtId="0" xfId="0" applyAlignment="1" applyBorder="1" applyFont="1">
      <alignment horizontal="center" readingOrder="0" shrinkToFit="0" vertical="center" wrapText="1"/>
    </xf>
    <xf borderId="120" fillId="5" fontId="8" numFmtId="1" xfId="0" applyAlignment="1" applyBorder="1" applyFont="1" applyNumberFormat="1">
      <alignment horizontal="center" readingOrder="0" shrinkToFit="0" vertical="center" wrapText="1"/>
    </xf>
    <xf borderId="121" fillId="5" fontId="8" numFmtId="1" xfId="0" applyAlignment="1" applyBorder="1" applyFont="1" applyNumberFormat="1">
      <alignment horizontal="left" shrinkToFit="0" vertical="center" wrapText="1"/>
    </xf>
    <xf borderId="121" fillId="5" fontId="36" numFmtId="166" xfId="0" applyAlignment="1" applyBorder="1" applyFont="1" applyNumberFormat="1">
      <alignment horizontal="center" shrinkToFit="0" vertical="center" wrapText="1"/>
    </xf>
    <xf borderId="122" fillId="5" fontId="36" numFmtId="166" xfId="0" applyAlignment="1" applyBorder="1" applyFont="1" applyNumberFormat="1">
      <alignment horizontal="center" readingOrder="0" shrinkToFit="0" vertical="center" wrapText="1"/>
    </xf>
    <xf borderId="123" fillId="6" fontId="2" numFmtId="167" xfId="0" applyBorder="1" applyFont="1" applyNumberFormat="1"/>
    <xf borderId="124" fillId="6" fontId="2" numFmtId="167" xfId="0" applyBorder="1" applyFont="1" applyNumberFormat="1"/>
    <xf borderId="125" fillId="6" fontId="2" numFmtId="167" xfId="0" applyBorder="1" applyFont="1" applyNumberFormat="1"/>
    <xf borderId="126" fillId="6" fontId="2" numFmtId="0" xfId="0" applyBorder="1" applyFont="1"/>
    <xf borderId="127" fillId="6" fontId="2" numFmtId="0" xfId="0" applyBorder="1" applyFont="1"/>
    <xf borderId="5" fillId="13" fontId="7" numFmtId="0" xfId="0" applyAlignment="1" applyBorder="1" applyFont="1">
      <alignment horizontal="center" shrinkToFit="0" vertical="center" wrapText="1"/>
    </xf>
    <xf borderId="128" fillId="13" fontId="7" numFmtId="0" xfId="0" applyAlignment="1" applyBorder="1" applyFont="1">
      <alignment horizontal="right" shrinkToFit="0" vertical="center" wrapText="1"/>
    </xf>
    <xf borderId="129" fillId="13" fontId="7" numFmtId="0" xfId="0" applyAlignment="1" applyBorder="1" applyFont="1">
      <alignment horizontal="right" readingOrder="0" shrinkToFit="0" vertical="center" wrapText="1"/>
    </xf>
    <xf borderId="129" fillId="13" fontId="7" numFmtId="1" xfId="0" applyAlignment="1" applyBorder="1" applyFont="1" applyNumberFormat="1">
      <alignment horizontal="center" shrinkToFit="0" vertical="center" wrapText="1"/>
    </xf>
    <xf borderId="6" fillId="13" fontId="7" numFmtId="0" xfId="0" applyAlignment="1" applyBorder="1" applyFont="1">
      <alignment horizontal="center" vertical="center"/>
    </xf>
    <xf borderId="129" fillId="13" fontId="37" numFmtId="1" xfId="0" applyAlignment="1" applyBorder="1" applyFont="1" applyNumberFormat="1">
      <alignment horizontal="center" readingOrder="0" shrinkToFit="0" vertical="center" wrapText="1"/>
    </xf>
    <xf borderId="129" fillId="13" fontId="37" numFmtId="1" xfId="0" applyAlignment="1" applyBorder="1" applyFont="1" applyNumberFormat="1">
      <alignment horizontal="center" shrinkToFit="0" vertical="center" wrapText="1"/>
    </xf>
    <xf borderId="129" fillId="13" fontId="38" numFmtId="1" xfId="0" applyAlignment="1" applyBorder="1" applyFont="1" applyNumberFormat="1">
      <alignment horizontal="center" readingOrder="0" shrinkToFit="0" vertical="center" wrapText="1"/>
    </xf>
    <xf borderId="6" fillId="13" fontId="38" numFmtId="0" xfId="0" applyAlignment="1" applyBorder="1" applyFont="1">
      <alignment horizontal="center" shrinkToFit="0" vertical="center" wrapText="1"/>
    </xf>
    <xf borderId="6" fillId="13" fontId="39" numFmtId="168" xfId="0" applyAlignment="1" applyBorder="1" applyFont="1" applyNumberFormat="1">
      <alignment horizontal="center" shrinkToFit="0" vertical="center" wrapText="1"/>
    </xf>
    <xf borderId="130" fillId="13" fontId="7" numFmtId="0" xfId="0" applyAlignment="1" applyBorder="1" applyFont="1">
      <alignment horizontal="center" shrinkToFit="0" vertical="center" wrapText="1"/>
    </xf>
    <xf borderId="131" fillId="6" fontId="2" numFmtId="0" xfId="0" applyAlignment="1" applyBorder="1" applyFont="1">
      <alignment readingOrder="0" shrinkToFit="0" wrapText="1"/>
    </xf>
    <xf borderId="92" fillId="6" fontId="2" numFmtId="167" xfId="0" applyAlignment="1" applyBorder="1" applyFont="1" applyNumberFormat="1">
      <alignment horizontal="right" vertical="center"/>
    </xf>
    <xf borderId="132" fillId="6" fontId="2" numFmtId="0" xfId="0" applyAlignment="1" applyBorder="1" applyFont="1">
      <alignment horizontal="right" vertical="center"/>
    </xf>
    <xf borderId="0" fillId="0" fontId="2" numFmtId="1" xfId="0" applyFont="1" applyNumberFormat="1"/>
    <xf borderId="5" fillId="5" fontId="7" numFmtId="0" xfId="0" applyAlignment="1" applyBorder="1" applyFont="1">
      <alignment horizontal="center" shrinkToFit="0" vertical="center" wrapText="1"/>
    </xf>
    <xf borderId="128" fillId="5" fontId="7" numFmtId="0" xfId="0" applyAlignment="1" applyBorder="1" applyFont="1">
      <alignment horizontal="right" shrinkToFit="0" vertical="center" wrapText="1"/>
    </xf>
    <xf borderId="129" fillId="5" fontId="7" numFmtId="0" xfId="0" applyAlignment="1" applyBorder="1" applyFont="1">
      <alignment horizontal="right" readingOrder="0" shrinkToFit="0" vertical="center" wrapText="1"/>
    </xf>
    <xf borderId="129" fillId="5" fontId="7" numFmtId="1" xfId="0" applyAlignment="1" applyBorder="1" applyFont="1" applyNumberForma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readingOrder="0" shrinkToFit="0" vertical="center" wrapText="1"/>
    </xf>
    <xf borderId="6" fillId="5" fontId="39" numFmtId="168" xfId="0" applyAlignment="1" applyBorder="1" applyFont="1" applyNumberFormat="1">
      <alignment horizontal="center" shrinkToFit="0" vertical="center" wrapText="1"/>
    </xf>
    <xf borderId="130" fillId="5" fontId="7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116" fillId="0" fontId="2" numFmtId="0" xfId="0" applyAlignment="1" applyBorder="1" applyFont="1">
      <alignment horizontal="right" vertical="center"/>
    </xf>
    <xf borderId="6" fillId="13" fontId="7" numFmtId="0" xfId="0" applyAlignment="1" applyBorder="1" applyFont="1">
      <alignment horizontal="center" shrinkToFit="0" vertical="center" wrapText="1"/>
    </xf>
    <xf borderId="7" fillId="13" fontId="7" numFmtId="0" xfId="0" applyAlignment="1" applyBorder="1" applyFont="1">
      <alignment horizontal="center" readingOrder="0" shrinkToFit="0" vertical="center" wrapText="1"/>
    </xf>
    <xf borderId="92" fillId="6" fontId="2" numFmtId="0" xfId="0" applyAlignment="1" applyBorder="1" applyFont="1">
      <alignment horizontal="right" vertical="center"/>
    </xf>
    <xf borderId="133" fillId="6" fontId="2" numFmtId="0" xfId="0" applyAlignment="1" applyBorder="1" applyFont="1">
      <alignment horizontal="right" vertical="center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horizontal="right" shrinkToFit="0" vertical="center" wrapText="1"/>
    </xf>
    <xf borderId="0" fillId="8" fontId="7" numFmtId="0" xfId="0" applyAlignment="1" applyFont="1">
      <alignment horizontal="right"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8" fontId="39" numFmtId="0" xfId="0" applyAlignment="1" applyFont="1">
      <alignment horizontal="center" shrinkToFit="0" vertical="center" wrapText="1"/>
    </xf>
    <xf borderId="0" fillId="8" fontId="39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/>
    </xf>
    <xf borderId="0" fillId="0" fontId="39" numFmtId="168" xfId="0" applyAlignment="1" applyFont="1" applyNumberFormat="1">
      <alignment horizontal="center" shrinkToFit="0" vertical="center" wrapText="1"/>
    </xf>
    <xf borderId="134" fillId="5" fontId="26" numFmtId="0" xfId="0" applyAlignment="1" applyBorder="1" applyFont="1">
      <alignment horizontal="center" shrinkToFit="0" vertical="center" wrapText="1"/>
    </xf>
    <xf borderId="17" fillId="5" fontId="26" numFmtId="0" xfId="0" applyAlignment="1" applyBorder="1" applyFont="1">
      <alignment horizontal="center" readingOrder="0" shrinkToFit="0" vertical="center" wrapText="1"/>
    </xf>
    <xf borderId="55" fillId="5" fontId="26" numFmtId="0" xfId="0" applyAlignment="1" applyBorder="1" applyFont="1">
      <alignment horizontal="center" shrinkToFit="0" vertical="center" wrapText="1"/>
    </xf>
    <xf borderId="135" fillId="5" fontId="26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2" fontId="33" numFmtId="0" xfId="0" applyAlignment="1" applyBorder="1" applyFont="1">
      <alignment readingOrder="0" shrinkToFit="0" wrapText="1"/>
    </xf>
    <xf borderId="1" fillId="2" fontId="33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shrinkToFit="0" vertical="center" wrapText="1"/>
    </xf>
    <xf borderId="20" fillId="0" fontId="3" numFmtId="1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readingOrder="0"/>
    </xf>
    <xf borderId="1" fillId="0" fontId="3" numFmtId="0" xfId="0" applyBorder="1" applyFont="1"/>
    <xf borderId="20" fillId="0" fontId="3" numFmtId="1" xfId="0" applyAlignment="1" applyBorder="1" applyFont="1" applyNumberFormat="1">
      <alignment horizontal="center"/>
    </xf>
    <xf borderId="0" fillId="0" fontId="3" numFmtId="1" xfId="0" applyFont="1" applyNumberFormat="1"/>
    <xf borderId="1" fillId="0" fontId="29" numFmtId="0" xfId="0" applyAlignment="1" applyBorder="1" applyFont="1">
      <alignment horizontal="center" readingOrder="0" shrinkToFit="0" vertical="center" wrapText="1"/>
    </xf>
    <xf borderId="1" fillId="0" fontId="3" numFmtId="1" xfId="0" applyBorder="1" applyFont="1" applyNumberFormat="1"/>
    <xf borderId="20" fillId="0" fontId="3" numFmtId="1" xfId="0" applyBorder="1" applyFont="1" applyNumberFormat="1"/>
    <xf borderId="0" fillId="0" fontId="7" numFmtId="0" xfId="0" applyAlignment="1" applyFont="1">
      <alignment horizontal="right" shrinkToFit="0" vertical="center" wrapText="1"/>
    </xf>
    <xf borderId="0" fillId="0" fontId="7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left" readingOrder="0"/>
    </xf>
    <xf borderId="0" fillId="0" fontId="10" numFmtId="0" xfId="0" applyFont="1"/>
    <xf borderId="1" fillId="14" fontId="7" numFmtId="0" xfId="0" applyAlignment="1" applyBorder="1" applyFill="1" applyFont="1">
      <alignment horizontal="center" shrinkToFit="0" vertical="center" wrapText="1"/>
    </xf>
    <xf borderId="1" fillId="14" fontId="7" numFmtId="0" xfId="0" applyAlignment="1" applyBorder="1" applyFont="1">
      <alignment horizontal="center" vertical="center"/>
    </xf>
    <xf borderId="1" fillId="14" fontId="7" numFmtId="0" xfId="0" applyAlignment="1" applyBorder="1" applyFont="1">
      <alignment horizontal="center" readingOrder="0" shrinkToFit="0" vertical="center" wrapText="1"/>
    </xf>
    <xf borderId="136" fillId="14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31" fillId="2" fontId="2" numFmtId="0" xfId="0" applyAlignment="1" applyBorder="1" applyFont="1">
      <alignment shrinkToFit="0" vertical="center" wrapText="1"/>
    </xf>
    <xf borderId="137" fillId="2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vertical="center"/>
    </xf>
    <xf borderId="138" fillId="2" fontId="2" numFmtId="0" xfId="0" applyAlignment="1" applyBorder="1" applyFont="1">
      <alignment shrinkToFit="0" vertical="center" wrapText="1"/>
    </xf>
    <xf borderId="139" fillId="2" fontId="2" numFmtId="0" xfId="0" applyAlignment="1" applyBorder="1" applyFont="1">
      <alignment readingOrder="0" shrinkToFit="0" vertical="center" wrapText="1"/>
    </xf>
    <xf borderId="1" fillId="0" fontId="2" numFmtId="10" xfId="0" applyAlignment="1" applyBorder="1" applyFont="1" applyNumberFormat="1">
      <alignment horizontal="center" readingOrder="0" vertical="center"/>
    </xf>
    <xf borderId="138" fillId="2" fontId="2" numFmtId="0" xfId="0" applyAlignment="1" applyBorder="1" applyFont="1">
      <alignment readingOrder="0" shrinkToFit="0" vertical="center" wrapText="1"/>
    </xf>
    <xf borderId="139" fillId="2" fontId="8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center"/>
    </xf>
    <xf borderId="1" fillId="0" fontId="2" numFmtId="10" xfId="0" applyBorder="1" applyFont="1" applyNumberFormat="1"/>
    <xf borderId="1" fillId="0" fontId="2" numFmtId="0" xfId="0" applyBorder="1" applyFont="1"/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6">
    <tableStyle count="3" pivot="0" name="1. Расчет проекта-style">
      <tableStyleElement dxfId="1" type="headerRow"/>
      <tableStyleElement dxfId="2" type="firstRowStripe"/>
      <tableStyleElement dxfId="3" type="secondRowStripe"/>
    </tableStyle>
    <tableStyle count="2" pivot="0" name="1. Расчет проекта-style 2">
      <tableStyleElement dxfId="2" type="firstRowStripe"/>
      <tableStyleElement dxfId="3" type="secondRowStripe"/>
    </tableStyle>
    <tableStyle count="2" pivot="0" name="1. Расчет проекта-style 3">
      <tableStyleElement dxfId="3" type="firstRowStripe"/>
      <tableStyleElement dxfId="2" type="secondRowStripe"/>
    </tableStyle>
    <tableStyle count="2" pivot="0" name="1. Расчет проекта-style 4">
      <tableStyleElement dxfId="2" type="firstRowStripe"/>
      <tableStyleElement dxfId="3" type="secondRowStripe"/>
    </tableStyle>
    <tableStyle count="2" pivot="0" name="1. Расчет проекта-style 5">
      <tableStyleElement dxfId="2" type="firstRowStripe"/>
      <tableStyleElement dxfId="3" type="secondRowStripe"/>
    </tableStyle>
    <tableStyle count="3" pivot="0" name="1. Расчет проекта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2:N25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1. Расчет проекта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O4:S17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1. Расчет проекта-style 2" showColumnStripes="0" showFirstColumn="1" showLastColumn="1" showRowStripes="1"/>
</table>
</file>

<file path=xl/tables/table3.xml><?xml version="1.0" encoding="utf-8"?>
<table xmlns="http://schemas.openxmlformats.org/spreadsheetml/2006/main" headerRowCount="0" ref="R18:S21" displayName="Table_3" name="Table_3" id="3">
  <tableColumns count="2">
    <tableColumn name="Column1" id="1"/>
    <tableColumn name="Column2" id="2"/>
  </tableColumns>
  <tableStyleInfo name="1. Расчет проекта-style 3" showColumnStripes="0" showFirstColumn="1" showLastColumn="1" showRowStripes="1"/>
</table>
</file>

<file path=xl/tables/table4.xml><?xml version="1.0" encoding="utf-8"?>
<table xmlns="http://schemas.openxmlformats.org/spreadsheetml/2006/main" headerRowCount="0" ref="K27:K29" displayName="Table_4" name="Table_4" id="4">
  <tableColumns count="1">
    <tableColumn name="Column1" id="1"/>
  </tableColumns>
  <tableStyleInfo name="1. Расчет проекта-style 4" showColumnStripes="0" showFirstColumn="1" showLastColumn="1" showRowStripes="1"/>
</table>
</file>

<file path=xl/tables/table5.xml><?xml version="1.0" encoding="utf-8"?>
<table xmlns="http://schemas.openxmlformats.org/spreadsheetml/2006/main" headerRowCount="0" ref="L27:O30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1. Расчет проекта-style 5" showColumnStripes="0" showFirstColumn="1" showLastColumn="1" showRowStripes="1"/>
</table>
</file>

<file path=xl/tables/table6.xml><?xml version="1.0" encoding="utf-8"?>
<table xmlns="http://schemas.openxmlformats.org/spreadsheetml/2006/main" headerRowCount="0" ref="G35:I39" displayName="Table_6" name="Table_6" id="6">
  <tableColumns count="3">
    <tableColumn name="Column1" id="1"/>
    <tableColumn name="Column2" id="2"/>
    <tableColumn name="Column3" id="3"/>
  </tableColumns>
  <tableStyleInfo name="1. Расчет проекта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2.86"/>
    <col customWidth="1" min="3" max="3" width="7.71"/>
    <col customWidth="1" min="4" max="4" width="9.86"/>
    <col customWidth="1" min="5" max="5" width="10.43"/>
    <col customWidth="1" min="6" max="6" width="3.71"/>
    <col customWidth="1" min="7" max="7" width="23.86"/>
    <col customWidth="1" min="8" max="8" width="17.43"/>
    <col customWidth="1" min="9" max="9" width="14.71"/>
    <col customWidth="1" min="10" max="10" width="6.29"/>
    <col customWidth="1" min="11" max="11" width="15.71"/>
    <col customWidth="1" min="12" max="12" width="18.14"/>
    <col customWidth="1" min="13" max="13" width="15.43"/>
    <col customWidth="1" min="14" max="14" width="15.57"/>
    <col customWidth="1" min="15" max="16" width="18.14"/>
    <col customWidth="1" min="17" max="17" width="16.57"/>
    <col customWidth="1" min="18" max="18" width="21.86"/>
    <col customWidth="1" min="19" max="30" width="8.71"/>
  </cols>
  <sheetData>
    <row r="1" ht="18.75" customHeight="1">
      <c r="A1" s="1" t="s">
        <v>0</v>
      </c>
      <c r="B1" s="1"/>
      <c r="C1" s="2"/>
      <c r="D1" s="2"/>
      <c r="E1" s="2"/>
      <c r="F1" s="2"/>
      <c r="G1" s="3" t="s">
        <v>1</v>
      </c>
      <c r="H1" s="4"/>
      <c r="I1" s="4"/>
      <c r="O1" s="5"/>
      <c r="P1" s="5"/>
      <c r="Q1" s="5"/>
      <c r="R1" s="5"/>
      <c r="S1" s="5"/>
    </row>
    <row r="2" ht="28.5" customHeight="1">
      <c r="A2" s="6" t="s">
        <v>2</v>
      </c>
      <c r="B2" s="7" t="s">
        <v>3</v>
      </c>
      <c r="C2" s="8"/>
      <c r="D2" s="8"/>
      <c r="E2" s="9"/>
      <c r="F2" s="2"/>
      <c r="G2" s="10" t="s">
        <v>4</v>
      </c>
      <c r="H2" s="11"/>
      <c r="I2" s="11" t="s">
        <v>5</v>
      </c>
      <c r="J2" s="12" t="s">
        <v>6</v>
      </c>
      <c r="K2" s="13" t="s">
        <v>7</v>
      </c>
      <c r="L2" s="14" t="s">
        <v>8</v>
      </c>
      <c r="M2" s="15" t="s">
        <v>9</v>
      </c>
      <c r="N2" s="16" t="s">
        <v>9</v>
      </c>
      <c r="O2" s="5"/>
      <c r="P2" s="5"/>
      <c r="Q2" s="5"/>
      <c r="R2" s="5"/>
      <c r="S2" s="5"/>
    </row>
    <row r="3" ht="14.25" customHeight="1">
      <c r="A3" s="17" t="s">
        <v>10</v>
      </c>
      <c r="B3" s="7" t="s">
        <v>11</v>
      </c>
      <c r="C3" s="8"/>
      <c r="D3" s="8"/>
      <c r="E3" s="9"/>
      <c r="F3" s="2"/>
      <c r="G3" s="18" t="s">
        <v>12</v>
      </c>
      <c r="H3" s="19"/>
      <c r="I3" s="19"/>
      <c r="J3" s="20"/>
      <c r="K3" s="21"/>
      <c r="L3" s="22"/>
      <c r="M3" s="23" t="s">
        <v>13</v>
      </c>
      <c r="N3" s="24"/>
      <c r="O3" s="5"/>
      <c r="P3" s="5"/>
      <c r="Q3" s="5"/>
      <c r="R3" s="5"/>
      <c r="S3" s="5"/>
    </row>
    <row r="4" ht="14.25" customHeight="1">
      <c r="A4" s="17" t="s">
        <v>14</v>
      </c>
      <c r="B4" s="7" t="s">
        <v>15</v>
      </c>
      <c r="C4" s="8"/>
      <c r="D4" s="8"/>
      <c r="E4" s="9"/>
      <c r="F4" s="2"/>
      <c r="G4" s="25" t="str">
        <f t="shared" ref="G4:H4" si="1">'7. Ставки'!B3</f>
        <v>#REF!</v>
      </c>
      <c r="H4" s="26" t="str">
        <f t="shared" si="1"/>
        <v>#REF!</v>
      </c>
      <c r="I4" s="27" t="str">
        <f t="shared" ref="I4:I25" si="3">IFERROR(VLOOKUP(H4, '7. Ставки'!$C$3:$E$19, 2, FALSE),"")</f>
        <v/>
      </c>
      <c r="J4" s="28" t="str">
        <f t="shared" ref="J4:J20" si="4">#REF!</f>
        <v>#REF!</v>
      </c>
      <c r="K4" s="29" t="str">
        <f t="shared" ref="K4:K20" si="5">I4*J4</f>
        <v>#REF!</v>
      </c>
      <c r="L4" s="30" t="str">
        <f t="shared" ref="L4:L20" si="6">K4+(K4*$D$18)</f>
        <v>#REF!</v>
      </c>
      <c r="M4" s="31" t="str">
        <f>SUM(K4:K20)</f>
        <v>#REF!</v>
      </c>
      <c r="N4" s="32" t="s">
        <v>16</v>
      </c>
      <c r="O4" s="5"/>
      <c r="P4" s="5"/>
      <c r="Q4" s="5"/>
      <c r="R4" s="5"/>
      <c r="S4" s="5"/>
    </row>
    <row r="5" ht="14.25" customHeight="1">
      <c r="A5" s="6"/>
      <c r="B5" s="33" t="s">
        <v>17</v>
      </c>
      <c r="C5" s="34"/>
      <c r="D5" s="34"/>
      <c r="E5" s="35"/>
      <c r="F5" s="2"/>
      <c r="G5" s="25" t="str">
        <f t="shared" ref="G5:H5" si="2">'7. Ставки'!B4</f>
        <v>#REF!</v>
      </c>
      <c r="H5" s="26" t="str">
        <f t="shared" si="2"/>
        <v>#REF!</v>
      </c>
      <c r="I5" s="27" t="str">
        <f t="shared" si="3"/>
        <v/>
      </c>
      <c r="J5" s="28" t="str">
        <f t="shared" si="4"/>
        <v>#REF!</v>
      </c>
      <c r="K5" s="29" t="str">
        <f t="shared" si="5"/>
        <v>#REF!</v>
      </c>
      <c r="L5" s="30" t="str">
        <f t="shared" si="6"/>
        <v>#REF!</v>
      </c>
      <c r="M5" s="36" t="str">
        <f>SUM(L4:L20)</f>
        <v>#REF!</v>
      </c>
      <c r="N5" s="37" t="s">
        <v>18</v>
      </c>
      <c r="O5" s="5"/>
      <c r="P5" s="5"/>
      <c r="Q5" s="5"/>
      <c r="R5" s="5"/>
      <c r="S5" s="5"/>
    </row>
    <row r="6" ht="15.0" customHeight="1">
      <c r="A6" s="38" t="s">
        <v>19</v>
      </c>
      <c r="B6" s="7" t="s">
        <v>20</v>
      </c>
      <c r="C6" s="8"/>
      <c r="D6" s="8"/>
      <c r="E6" s="9"/>
      <c r="F6" s="2"/>
      <c r="G6" s="25" t="str">
        <f t="shared" ref="G6:H6" si="7">'7. Ставки'!B5</f>
        <v>#REF!</v>
      </c>
      <c r="H6" s="26" t="str">
        <f t="shared" si="7"/>
        <v>#REF!</v>
      </c>
      <c r="I6" s="27" t="str">
        <f t="shared" si="3"/>
        <v/>
      </c>
      <c r="J6" s="28" t="str">
        <f t="shared" si="4"/>
        <v>#REF!</v>
      </c>
      <c r="K6" s="29" t="str">
        <f t="shared" si="5"/>
        <v>#REF!</v>
      </c>
      <c r="L6" s="30" t="str">
        <f t="shared" si="6"/>
        <v>#REF!</v>
      </c>
      <c r="M6" s="36"/>
      <c r="N6" s="39"/>
      <c r="O6" s="5"/>
      <c r="P6" s="5"/>
      <c r="Q6" s="5"/>
      <c r="R6" s="5"/>
      <c r="S6" s="5"/>
    </row>
    <row r="7" ht="14.25" customHeight="1">
      <c r="A7" s="38" t="s">
        <v>21</v>
      </c>
      <c r="B7" s="7" t="s">
        <v>22</v>
      </c>
      <c r="C7" s="8"/>
      <c r="D7" s="8"/>
      <c r="E7" s="9"/>
      <c r="F7" s="2"/>
      <c r="G7" s="25" t="str">
        <f t="shared" ref="G7:H7" si="8">'7. Ставки'!B6</f>
        <v>#REF!</v>
      </c>
      <c r="H7" s="26" t="str">
        <f t="shared" si="8"/>
        <v>#REF!</v>
      </c>
      <c r="I7" s="27" t="str">
        <f t="shared" si="3"/>
        <v/>
      </c>
      <c r="J7" s="28" t="str">
        <f t="shared" si="4"/>
        <v>#REF!</v>
      </c>
      <c r="K7" s="29" t="str">
        <f t="shared" si="5"/>
        <v>#REF!</v>
      </c>
      <c r="L7" s="30" t="str">
        <f t="shared" si="6"/>
        <v>#REF!</v>
      </c>
      <c r="M7" s="36"/>
      <c r="N7" s="39"/>
      <c r="O7" s="5"/>
      <c r="P7" s="5"/>
      <c r="Q7" s="5"/>
      <c r="R7" s="5"/>
      <c r="S7" s="5"/>
    </row>
    <row r="8" ht="14.25" customHeight="1">
      <c r="A8" s="38" t="s">
        <v>23</v>
      </c>
      <c r="B8" s="40" t="s">
        <v>24</v>
      </c>
      <c r="C8" s="41"/>
      <c r="D8" s="41"/>
      <c r="E8" s="42"/>
      <c r="F8" s="2"/>
      <c r="G8" s="25" t="str">
        <f t="shared" ref="G8:H8" si="9">'7. Ставки'!B7</f>
        <v>#REF!</v>
      </c>
      <c r="H8" s="26" t="str">
        <f t="shared" si="9"/>
        <v>#REF!</v>
      </c>
      <c r="I8" s="27" t="str">
        <f t="shared" si="3"/>
        <v/>
      </c>
      <c r="J8" s="28" t="str">
        <f t="shared" si="4"/>
        <v>#REF!</v>
      </c>
      <c r="K8" s="29" t="str">
        <f t="shared" si="5"/>
        <v>#REF!</v>
      </c>
      <c r="L8" s="30" t="str">
        <f t="shared" si="6"/>
        <v>#REF!</v>
      </c>
      <c r="M8" s="36"/>
      <c r="N8" s="39"/>
      <c r="O8" s="5"/>
      <c r="P8" s="5"/>
      <c r="Q8" s="5"/>
      <c r="R8" s="5"/>
      <c r="S8" s="5"/>
    </row>
    <row r="9" ht="14.25" customHeight="1">
      <c r="A9" s="38" t="s">
        <v>25</v>
      </c>
      <c r="B9" s="43">
        <v>6.0</v>
      </c>
      <c r="C9" s="44"/>
      <c r="D9" s="44"/>
      <c r="E9" s="45"/>
      <c r="F9" s="2"/>
      <c r="G9" s="25" t="str">
        <f t="shared" ref="G9:H9" si="10">'7. Ставки'!B8</f>
        <v>#REF!</v>
      </c>
      <c r="H9" s="26" t="str">
        <f t="shared" si="10"/>
        <v>#REF!</v>
      </c>
      <c r="I9" s="27" t="str">
        <f t="shared" si="3"/>
        <v/>
      </c>
      <c r="J9" s="28" t="str">
        <f t="shared" si="4"/>
        <v>#REF!</v>
      </c>
      <c r="K9" s="29" t="str">
        <f t="shared" si="5"/>
        <v>#REF!</v>
      </c>
      <c r="L9" s="30" t="str">
        <f t="shared" si="6"/>
        <v>#REF!</v>
      </c>
      <c r="M9" s="36"/>
      <c r="N9" s="39"/>
      <c r="O9" s="5"/>
      <c r="P9" s="5"/>
      <c r="Q9" s="5"/>
      <c r="R9" s="5"/>
      <c r="S9" s="5"/>
    </row>
    <row r="10" ht="14.25" customHeight="1">
      <c r="A10" s="46" t="s">
        <v>26</v>
      </c>
      <c r="B10" s="47"/>
      <c r="C10" s="47"/>
      <c r="D10" s="47"/>
      <c r="E10" s="47"/>
      <c r="F10" s="2"/>
      <c r="G10" s="25" t="str">
        <f t="shared" ref="G10:H10" si="11">'7. Ставки'!B9</f>
        <v>#REF!</v>
      </c>
      <c r="H10" s="26" t="str">
        <f t="shared" si="11"/>
        <v>#REF!</v>
      </c>
      <c r="I10" s="27" t="str">
        <f t="shared" si="3"/>
        <v/>
      </c>
      <c r="J10" s="28" t="str">
        <f t="shared" si="4"/>
        <v>#REF!</v>
      </c>
      <c r="K10" s="29" t="str">
        <f t="shared" si="5"/>
        <v>#REF!</v>
      </c>
      <c r="L10" s="30" t="str">
        <f t="shared" si="6"/>
        <v>#REF!</v>
      </c>
      <c r="M10" s="36"/>
      <c r="N10" s="39"/>
      <c r="O10" s="5"/>
      <c r="P10" s="5"/>
      <c r="Q10" s="5"/>
      <c r="R10" s="5"/>
      <c r="S10" s="5"/>
    </row>
    <row r="11" ht="14.25" customHeight="1">
      <c r="A11" s="2"/>
      <c r="B11" s="2"/>
      <c r="C11" s="2"/>
      <c r="D11" s="2"/>
      <c r="E11" s="2"/>
      <c r="F11" s="2"/>
      <c r="G11" s="25" t="str">
        <f t="shared" ref="G11:H11" si="12">'7. Ставки'!B10</f>
        <v>#REF!</v>
      </c>
      <c r="H11" s="26" t="str">
        <f t="shared" si="12"/>
        <v>#REF!</v>
      </c>
      <c r="I11" s="27" t="str">
        <f t="shared" si="3"/>
        <v/>
      </c>
      <c r="J11" s="28" t="str">
        <f t="shared" si="4"/>
        <v>#REF!</v>
      </c>
      <c r="K11" s="29" t="str">
        <f t="shared" si="5"/>
        <v>#REF!</v>
      </c>
      <c r="L11" s="30" t="str">
        <f t="shared" si="6"/>
        <v>#REF!</v>
      </c>
      <c r="M11" s="36"/>
      <c r="N11" s="39"/>
      <c r="O11" s="5"/>
      <c r="P11" s="5"/>
      <c r="Q11" s="5"/>
      <c r="R11" s="5"/>
      <c r="S11" s="5"/>
    </row>
    <row r="12" ht="14.25" customHeight="1">
      <c r="A12" s="48"/>
      <c r="B12" s="49"/>
      <c r="C12" s="50"/>
      <c r="D12" s="51"/>
      <c r="E12" s="51"/>
      <c r="F12" s="2"/>
      <c r="G12" s="25" t="str">
        <f t="shared" ref="G12:H12" si="13">'7. Ставки'!B11</f>
        <v>#REF!</v>
      </c>
      <c r="H12" s="26" t="str">
        <f t="shared" si="13"/>
        <v>#REF!</v>
      </c>
      <c r="I12" s="27" t="str">
        <f t="shared" si="3"/>
        <v/>
      </c>
      <c r="J12" s="28" t="str">
        <f t="shared" si="4"/>
        <v>#REF!</v>
      </c>
      <c r="K12" s="29" t="str">
        <f t="shared" si="5"/>
        <v>#REF!</v>
      </c>
      <c r="L12" s="30" t="str">
        <f t="shared" si="6"/>
        <v>#REF!</v>
      </c>
      <c r="M12" s="36"/>
      <c r="N12" s="39"/>
      <c r="O12" s="5"/>
      <c r="P12" s="5"/>
      <c r="Q12" s="5"/>
      <c r="R12" s="5"/>
      <c r="S12" s="5"/>
    </row>
    <row r="13" ht="14.25" customHeight="1">
      <c r="A13" s="3" t="s">
        <v>27</v>
      </c>
      <c r="B13" s="2"/>
      <c r="C13" s="2"/>
      <c r="D13" s="2"/>
      <c r="E13" s="2"/>
      <c r="F13" s="2"/>
      <c r="G13" s="25" t="str">
        <f t="shared" ref="G13:H13" si="14">'7. Ставки'!B12</f>
        <v>#REF!</v>
      </c>
      <c r="H13" s="26" t="str">
        <f t="shared" si="14"/>
        <v>#REF!</v>
      </c>
      <c r="I13" s="27" t="str">
        <f t="shared" si="3"/>
        <v/>
      </c>
      <c r="J13" s="28" t="str">
        <f t="shared" si="4"/>
        <v>#REF!</v>
      </c>
      <c r="K13" s="29" t="str">
        <f t="shared" si="5"/>
        <v>#REF!</v>
      </c>
      <c r="L13" s="30" t="str">
        <f t="shared" si="6"/>
        <v>#REF!</v>
      </c>
      <c r="M13" s="36"/>
      <c r="N13" s="39"/>
      <c r="O13" s="5"/>
      <c r="P13" s="5"/>
      <c r="Q13" s="5"/>
      <c r="R13" s="5"/>
      <c r="S13" s="5"/>
    </row>
    <row r="14" ht="14.25" customHeight="1">
      <c r="A14" s="52" t="s">
        <v>28</v>
      </c>
      <c r="B14" s="53" t="s">
        <v>29</v>
      </c>
      <c r="C14" s="54" t="s">
        <v>30</v>
      </c>
      <c r="D14" s="54" t="s">
        <v>31</v>
      </c>
      <c r="E14" s="54" t="s">
        <v>32</v>
      </c>
      <c r="F14" s="55"/>
      <c r="G14" s="25" t="str">
        <f t="shared" ref="G14:H14" si="15">'7. Ставки'!B13</f>
        <v>#REF!</v>
      </c>
      <c r="H14" s="26" t="str">
        <f t="shared" si="15"/>
        <v>#REF!</v>
      </c>
      <c r="I14" s="27" t="str">
        <f t="shared" si="3"/>
        <v/>
      </c>
      <c r="J14" s="28" t="str">
        <f t="shared" si="4"/>
        <v>#REF!</v>
      </c>
      <c r="K14" s="29" t="str">
        <f t="shared" si="5"/>
        <v>#REF!</v>
      </c>
      <c r="L14" s="30" t="str">
        <f t="shared" si="6"/>
        <v>#REF!</v>
      </c>
      <c r="M14" s="36"/>
      <c r="N14" s="39"/>
      <c r="O14" s="5"/>
      <c r="P14" s="5"/>
      <c r="Q14" s="5"/>
      <c r="R14" s="5"/>
      <c r="S14" s="5"/>
    </row>
    <row r="15" ht="14.25" customHeight="1">
      <c r="A15" s="56" t="s">
        <v>33</v>
      </c>
      <c r="B15" s="57"/>
      <c r="C15" s="58" t="str">
        <f>'8. КП'!CP107</f>
        <v>#REF!</v>
      </c>
      <c r="D15" s="58" t="str">
        <f>ROUND(E15/21,1)</f>
        <v>#REF!</v>
      </c>
      <c r="E15" s="59" t="str">
        <f>'8. КП'!DO107</f>
        <v>#REF!</v>
      </c>
      <c r="F15" s="2"/>
      <c r="G15" s="25" t="str">
        <f t="shared" ref="G15:H15" si="16">'7. Ставки'!B14</f>
        <v>#REF!</v>
      </c>
      <c r="H15" s="26" t="str">
        <f t="shared" si="16"/>
        <v>#REF!</v>
      </c>
      <c r="I15" s="27" t="str">
        <f t="shared" si="3"/>
        <v/>
      </c>
      <c r="J15" s="28" t="str">
        <f t="shared" si="4"/>
        <v>#REF!</v>
      </c>
      <c r="K15" s="29" t="str">
        <f t="shared" si="5"/>
        <v>#REF!</v>
      </c>
      <c r="L15" s="30" t="str">
        <f t="shared" si="6"/>
        <v>#REF!</v>
      </c>
      <c r="M15" s="36"/>
      <c r="N15" s="39"/>
      <c r="O15" s="5"/>
      <c r="P15" s="5"/>
      <c r="Q15" s="5"/>
      <c r="R15" s="5"/>
      <c r="S15" s="5"/>
    </row>
    <row r="16" ht="15.0" customHeight="1">
      <c r="A16" s="52" t="s">
        <v>34</v>
      </c>
      <c r="B16" s="44"/>
      <c r="C16" s="45"/>
      <c r="D16" s="60" t="s">
        <v>35</v>
      </c>
      <c r="E16" s="45"/>
      <c r="F16" s="2"/>
      <c r="G16" s="25" t="str">
        <f t="shared" ref="G16:H16" si="17">'7. Ставки'!B15</f>
        <v>#REF!</v>
      </c>
      <c r="H16" s="26" t="str">
        <f t="shared" si="17"/>
        <v>#REF!</v>
      </c>
      <c r="I16" s="27" t="str">
        <f t="shared" si="3"/>
        <v/>
      </c>
      <c r="J16" s="28" t="str">
        <f t="shared" si="4"/>
        <v>#REF!</v>
      </c>
      <c r="K16" s="29" t="str">
        <f t="shared" si="5"/>
        <v>#REF!</v>
      </c>
      <c r="L16" s="30" t="str">
        <f t="shared" si="6"/>
        <v>#REF!</v>
      </c>
      <c r="M16" s="36"/>
      <c r="N16" s="39"/>
      <c r="O16" s="5"/>
      <c r="P16" s="5"/>
      <c r="Q16" s="5"/>
      <c r="R16" s="5"/>
      <c r="S16" s="5"/>
    </row>
    <row r="17" ht="14.25" customHeight="1">
      <c r="A17" s="61" t="s">
        <v>36</v>
      </c>
      <c r="B17" s="44"/>
      <c r="C17" s="45"/>
      <c r="D17" s="60" t="s">
        <v>37</v>
      </c>
      <c r="E17" s="45"/>
      <c r="F17" s="2"/>
      <c r="G17" s="25" t="str">
        <f t="shared" ref="G17:H17" si="18">'7. Ставки'!B16</f>
        <v>#REF!</v>
      </c>
      <c r="H17" s="26" t="str">
        <f t="shared" si="18"/>
        <v>#REF!</v>
      </c>
      <c r="I17" s="27" t="str">
        <f t="shared" si="3"/>
        <v/>
      </c>
      <c r="J17" s="28" t="str">
        <f t="shared" si="4"/>
        <v>#REF!</v>
      </c>
      <c r="K17" s="29" t="str">
        <f t="shared" si="5"/>
        <v>#REF!</v>
      </c>
      <c r="L17" s="30" t="str">
        <f t="shared" si="6"/>
        <v>#REF!</v>
      </c>
      <c r="M17" s="36"/>
      <c r="N17" s="39"/>
      <c r="O17" s="5"/>
      <c r="P17" s="5"/>
      <c r="Q17" s="5"/>
      <c r="R17" s="5"/>
      <c r="S17" s="5"/>
    </row>
    <row r="18" ht="14.25" customHeight="1">
      <c r="A18" s="61" t="s">
        <v>38</v>
      </c>
      <c r="B18" s="44"/>
      <c r="C18" s="45"/>
      <c r="D18" s="62">
        <f>'3. Скоринг'!F15</f>
        <v>0.15</v>
      </c>
      <c r="E18" s="63"/>
      <c r="F18" s="2"/>
      <c r="G18" s="25" t="str">
        <f t="shared" ref="G18:H18" si="19">'7. Ставки'!B17</f>
        <v>#REF!</v>
      </c>
      <c r="H18" s="26" t="str">
        <f t="shared" si="19"/>
        <v>#REF!</v>
      </c>
      <c r="I18" s="27" t="str">
        <f t="shared" si="3"/>
        <v/>
      </c>
      <c r="J18" s="28" t="str">
        <f t="shared" si="4"/>
        <v>#REF!</v>
      </c>
      <c r="K18" s="29" t="str">
        <f t="shared" si="5"/>
        <v>#REF!</v>
      </c>
      <c r="L18" s="30" t="str">
        <f t="shared" si="6"/>
        <v>#REF!</v>
      </c>
      <c r="M18" s="36"/>
      <c r="N18" s="39"/>
      <c r="O18" s="5"/>
      <c r="P18" s="5"/>
      <c r="Q18" s="5"/>
      <c r="R18" s="5"/>
      <c r="S18" s="5"/>
    </row>
    <row r="19" ht="14.25" customHeight="1">
      <c r="A19" s="2"/>
      <c r="B19" s="2"/>
      <c r="C19" s="2"/>
      <c r="D19" s="2"/>
      <c r="E19" s="2"/>
      <c r="F19" s="2"/>
      <c r="G19" s="25" t="str">
        <f t="shared" ref="G19:H19" si="20">'7. Ставки'!B18</f>
        <v>#REF!</v>
      </c>
      <c r="H19" s="26" t="str">
        <f t="shared" si="20"/>
        <v>#REF!</v>
      </c>
      <c r="I19" s="27" t="str">
        <f t="shared" si="3"/>
        <v/>
      </c>
      <c r="J19" s="28" t="str">
        <f t="shared" si="4"/>
        <v>#REF!</v>
      </c>
      <c r="K19" s="29" t="str">
        <f t="shared" si="5"/>
        <v>#REF!</v>
      </c>
      <c r="L19" s="30" t="str">
        <f t="shared" si="6"/>
        <v>#REF!</v>
      </c>
      <c r="M19" s="36"/>
      <c r="N19" s="39"/>
      <c r="O19" s="5"/>
      <c r="P19" s="5"/>
      <c r="Q19" s="5"/>
      <c r="R19" s="5"/>
      <c r="S19" s="5"/>
    </row>
    <row r="20" ht="15.0" customHeight="1">
      <c r="A20" s="64" t="s">
        <v>39</v>
      </c>
      <c r="B20" s="65"/>
      <c r="C20" s="65"/>
      <c r="D20" s="66" t="str">
        <f>VLOOKUP(G22,'3. Уровень обслуживания'!A3:D7,4,FALSE)</f>
        <v>#REF!</v>
      </c>
      <c r="E20" s="64"/>
      <c r="F20" s="2"/>
      <c r="G20" s="67" t="str">
        <f t="shared" ref="G20:H20" si="21">'7. Ставки'!B19</f>
        <v>#REF!</v>
      </c>
      <c r="H20" s="68" t="str">
        <f t="shared" si="21"/>
        <v>#REF!</v>
      </c>
      <c r="I20" s="69" t="str">
        <f t="shared" si="3"/>
        <v/>
      </c>
      <c r="J20" s="70" t="str">
        <f t="shared" si="4"/>
        <v>#REF!</v>
      </c>
      <c r="K20" s="71" t="str">
        <f t="shared" si="5"/>
        <v>#REF!</v>
      </c>
      <c r="L20" s="72" t="str">
        <f t="shared" si="6"/>
        <v>#REF!</v>
      </c>
      <c r="M20" s="73"/>
      <c r="N20" s="74"/>
      <c r="O20" s="5"/>
      <c r="P20" s="5"/>
      <c r="Q20" s="5"/>
      <c r="R20" s="5"/>
      <c r="S20" s="5"/>
    </row>
    <row r="21" ht="15.0" customHeight="1">
      <c r="F21" s="2"/>
      <c r="G21" s="75" t="s">
        <v>40</v>
      </c>
      <c r="H21" s="76"/>
      <c r="I21" s="77" t="str">
        <f t="shared" si="3"/>
        <v/>
      </c>
      <c r="J21" s="78"/>
      <c r="K21" s="79"/>
      <c r="L21" s="22"/>
      <c r="M21" s="23" t="s">
        <v>41</v>
      </c>
      <c r="N21" s="80" t="str">
        <f>CONCATENATE("+ ",ROUND(((M23/M5))*100,1),"%")</f>
        <v>#REF!</v>
      </c>
      <c r="O21" s="5"/>
      <c r="P21" s="5"/>
      <c r="Q21" s="5"/>
      <c r="R21" s="5"/>
      <c r="S21" s="5"/>
    </row>
    <row r="22" ht="14.25" customHeight="1">
      <c r="A22" s="81"/>
      <c r="B22" s="81"/>
      <c r="C22" s="81"/>
      <c r="D22" s="82"/>
      <c r="E22" s="81"/>
      <c r="F22" s="83"/>
      <c r="G22" s="84" t="str">
        <f>D16</f>
        <v>РП (Обычный проект)</v>
      </c>
      <c r="H22" s="85" t="str">
        <f>'7. Ставки'!C11</f>
        <v>#REF!</v>
      </c>
      <c r="I22" s="27" t="str">
        <f t="shared" si="3"/>
        <v/>
      </c>
      <c r="J22" s="28" t="str">
        <f>VLOOKUP(G22,'3. Уровень обслуживания'!A4:B7, 2,FALSE)</f>
        <v>#REF!</v>
      </c>
      <c r="K22" s="29" t="str">
        <f t="shared" ref="K22:K25" si="22">I22*J22</f>
        <v>#REF!</v>
      </c>
      <c r="L22" s="30" t="str">
        <f t="shared" ref="L22:L25" si="23">K22+(K22*$D$18)</f>
        <v>#REF!</v>
      </c>
      <c r="M22" s="31" t="str">
        <f>SUM(K22:K25)</f>
        <v>#REF!</v>
      </c>
      <c r="N22" s="32" t="s">
        <v>16</v>
      </c>
      <c r="O22" s="5"/>
      <c r="P22" s="5"/>
      <c r="Q22" s="5"/>
      <c r="R22" s="5"/>
      <c r="S22" s="5"/>
    </row>
    <row r="23" ht="14.25" customHeight="1">
      <c r="A23" s="81"/>
      <c r="B23" s="81"/>
      <c r="C23" s="81"/>
      <c r="D23" s="81"/>
      <c r="E23" s="81"/>
      <c r="F23" s="2"/>
      <c r="G23" s="86" t="s">
        <v>42</v>
      </c>
      <c r="H23" s="26" t="str">
        <f>'7. Ставки'!C16</f>
        <v>#REF!</v>
      </c>
      <c r="I23" s="27" t="str">
        <f t="shared" si="3"/>
        <v/>
      </c>
      <c r="J23" s="28" t="str">
        <f t="shared" ref="J23:J25" si="24">#REF!</f>
        <v>#REF!</v>
      </c>
      <c r="K23" s="29" t="str">
        <f t="shared" si="22"/>
        <v>#REF!</v>
      </c>
      <c r="L23" s="30" t="str">
        <f t="shared" si="23"/>
        <v>#REF!</v>
      </c>
      <c r="M23" s="36" t="str">
        <f>SUM(L22:L25)</f>
        <v>#REF!</v>
      </c>
      <c r="N23" s="37" t="s">
        <v>18</v>
      </c>
      <c r="O23" s="5"/>
      <c r="P23" s="5"/>
      <c r="Q23" s="5"/>
      <c r="R23" s="5"/>
      <c r="S23" s="5"/>
    </row>
    <row r="24" ht="14.25" customHeight="1">
      <c r="A24" s="81"/>
      <c r="B24" s="81"/>
      <c r="C24" s="81"/>
      <c r="D24" s="81"/>
      <c r="E24" s="81"/>
      <c r="F24" s="2"/>
      <c r="G24" s="87" t="s">
        <v>43</v>
      </c>
      <c r="H24" s="88" t="str">
        <f t="shared" ref="H24:H25" si="25">'7. Ставки'!C3</f>
        <v>#REF!</v>
      </c>
      <c r="I24" s="89" t="str">
        <f t="shared" si="3"/>
        <v/>
      </c>
      <c r="J24" s="90" t="str">
        <f t="shared" si="24"/>
        <v>#REF!</v>
      </c>
      <c r="K24" s="91" t="str">
        <f t="shared" si="22"/>
        <v>#REF!</v>
      </c>
      <c r="L24" s="92" t="str">
        <f t="shared" si="23"/>
        <v>#REF!</v>
      </c>
      <c r="M24" s="93"/>
      <c r="N24" s="94"/>
      <c r="O24" s="5"/>
      <c r="P24" s="5"/>
      <c r="Q24" s="5"/>
      <c r="R24" s="5"/>
      <c r="S24" s="5"/>
    </row>
    <row r="25" ht="14.25" customHeight="1">
      <c r="A25" s="95"/>
      <c r="B25" s="95"/>
      <c r="C25" s="95"/>
      <c r="D25" s="95"/>
      <c r="E25" s="95"/>
      <c r="F25" s="2"/>
      <c r="G25" s="96" t="s">
        <v>44</v>
      </c>
      <c r="H25" s="88" t="str">
        <f t="shared" si="25"/>
        <v>#REF!</v>
      </c>
      <c r="I25" s="89" t="str">
        <f t="shared" si="3"/>
        <v/>
      </c>
      <c r="J25" s="90" t="str">
        <f t="shared" si="24"/>
        <v>#REF!</v>
      </c>
      <c r="K25" s="91" t="str">
        <f t="shared" si="22"/>
        <v>#REF!</v>
      </c>
      <c r="L25" s="92" t="str">
        <f t="shared" si="23"/>
        <v>#REF!</v>
      </c>
      <c r="M25" s="97"/>
      <c r="N25" s="98"/>
      <c r="O25" s="5"/>
      <c r="P25" s="5"/>
      <c r="Q25" s="5"/>
      <c r="R25" s="5"/>
      <c r="S25" s="5"/>
    </row>
    <row r="26" ht="21.0" customHeight="1">
      <c r="A26" s="2"/>
      <c r="B26" s="2"/>
      <c r="C26" s="2"/>
      <c r="D26" s="2"/>
      <c r="E26" s="2"/>
      <c r="F26" s="2"/>
      <c r="G26" s="99" t="s">
        <v>45</v>
      </c>
      <c r="H26" s="100"/>
      <c r="I26" s="100"/>
      <c r="J26" s="101"/>
      <c r="K26" s="102" t="str">
        <f>SUM(K3:K25)+cost2</f>
        <v>#REF!</v>
      </c>
      <c r="L26" s="103" t="str">
        <f>SUM(L3:L25)+cost2</f>
        <v>#REF!</v>
      </c>
      <c r="M26" s="104" t="s">
        <v>46</v>
      </c>
      <c r="N26" s="105" t="str">
        <f>CONCATENATE("",ROUND((SUM(L27:L29)/L26)*100,1),"% включено")</f>
        <v>#REF!</v>
      </c>
      <c r="O26" s="5"/>
      <c r="P26" s="5"/>
      <c r="Q26" s="5"/>
      <c r="R26" s="5"/>
      <c r="S26" s="5"/>
    </row>
    <row r="27" ht="14.25" customHeight="1">
      <c r="A27" s="106"/>
      <c r="B27" s="2"/>
      <c r="C27" s="2"/>
      <c r="D27" s="2"/>
      <c r="E27" s="2"/>
      <c r="F27" s="2"/>
      <c r="G27" s="107"/>
      <c r="H27" s="108"/>
      <c r="I27" s="109" t="s">
        <v>47</v>
      </c>
      <c r="J27" s="110"/>
      <c r="K27" s="111" t="s">
        <v>48</v>
      </c>
      <c r="L27" s="112" t="str">
        <f>L26-K26</f>
        <v>#REF!</v>
      </c>
      <c r="M27" s="31" t="str">
        <f>CONCATENATE("",ROUND(((L27/L26))*100,1),"%")</f>
        <v>#REF!</v>
      </c>
      <c r="N27" s="113" t="s">
        <v>49</v>
      </c>
      <c r="O27" s="5"/>
      <c r="P27" s="5"/>
      <c r="Q27" s="5"/>
      <c r="R27" s="5"/>
      <c r="S27" s="5"/>
    </row>
    <row r="28" ht="14.25" customHeight="1">
      <c r="A28" s="106" t="s">
        <v>50</v>
      </c>
      <c r="B28" s="2"/>
      <c r="C28" s="2"/>
      <c r="D28" s="2"/>
      <c r="E28" s="2"/>
      <c r="F28" s="2"/>
      <c r="G28" s="114"/>
      <c r="H28" s="115"/>
      <c r="I28" s="116" t="s">
        <v>51</v>
      </c>
      <c r="J28" s="117"/>
      <c r="K28" s="118" t="str">
        <f t="shared" ref="K28:L28" si="26">#REF!</f>
        <v>#REF!</v>
      </c>
      <c r="L28" s="119" t="str">
        <f t="shared" si="26"/>
        <v>#REF!</v>
      </c>
      <c r="M28" s="36" t="str">
        <f>CONCATENATE("",ROUND(((L28/L26))*100,1),"%")</f>
        <v>#REF!</v>
      </c>
      <c r="N28" s="37" t="s">
        <v>52</v>
      </c>
      <c r="O28" s="5"/>
      <c r="P28" s="5"/>
      <c r="Q28" s="5"/>
      <c r="R28" s="5"/>
      <c r="S28" s="5"/>
    </row>
    <row r="29" ht="14.25" customHeight="1">
      <c r="A29" s="106" t="s">
        <v>53</v>
      </c>
      <c r="B29" s="2"/>
      <c r="C29" s="2"/>
      <c r="D29" s="2"/>
      <c r="E29" s="2"/>
      <c r="F29" s="2"/>
      <c r="G29" s="120" t="s">
        <v>54</v>
      </c>
      <c r="H29" s="121"/>
      <c r="I29" s="122" t="s">
        <v>55</v>
      </c>
      <c r="J29" s="123"/>
      <c r="K29" s="124" t="str">
        <f>cost2</f>
        <v>#REF!</v>
      </c>
      <c r="L29" s="125" t="str">
        <f>cost2</f>
        <v>#REF!</v>
      </c>
      <c r="M29" s="126" t="str">
        <f>CONCATENATE("",ROUND(((L29/L26))*100,1),"%")</f>
        <v>#REF!</v>
      </c>
      <c r="N29" s="127" t="s">
        <v>52</v>
      </c>
      <c r="O29" s="5"/>
      <c r="P29" s="5"/>
      <c r="Q29" s="5"/>
      <c r="R29" s="5"/>
      <c r="S29" s="5"/>
    </row>
    <row r="30" ht="14.25" customHeight="1">
      <c r="A30" s="106"/>
      <c r="B30" s="2"/>
      <c r="C30" s="2"/>
      <c r="D30" s="2"/>
      <c r="E30" s="2"/>
      <c r="F30" s="2"/>
      <c r="G30" s="128" t="s">
        <v>56</v>
      </c>
      <c r="H30" s="129"/>
      <c r="I30" s="129"/>
      <c r="J30" s="130">
        <v>0.05</v>
      </c>
      <c r="K30" s="131" t="str">
        <f>SUM(K3:K24)+(SUM(K3:K24)*$J$30)+cost_2nds</f>
        <v>#REF!</v>
      </c>
      <c r="L30" s="132" t="str">
        <f>SUM(L3:L24)+(SUM(L3:L24)*$J$30)+cost_2nds</f>
        <v>#REF!</v>
      </c>
      <c r="M30" s="73"/>
      <c r="N30" s="133"/>
      <c r="O30" s="5"/>
      <c r="P30" s="5"/>
      <c r="Q30" s="5"/>
      <c r="R30" s="5"/>
      <c r="S30" s="5"/>
    </row>
    <row r="31" ht="14.25" customHeight="1">
      <c r="A31" s="2"/>
      <c r="B31" s="2"/>
      <c r="C31" s="2"/>
      <c r="D31" s="2"/>
      <c r="E31" s="2"/>
      <c r="F31" s="2"/>
      <c r="G31" s="134"/>
      <c r="H31" s="134"/>
      <c r="I31" s="134"/>
      <c r="J31" s="134"/>
      <c r="K31" s="135"/>
      <c r="O31" s="5"/>
      <c r="P31" s="5"/>
      <c r="Q31" s="5"/>
      <c r="R31" s="5"/>
      <c r="S31" s="5"/>
    </row>
    <row r="32" ht="14.25" customHeight="1">
      <c r="A32" s="2"/>
      <c r="B32" s="2"/>
      <c r="C32" s="2"/>
      <c r="D32" s="2"/>
      <c r="E32" s="2"/>
      <c r="F32" s="2"/>
      <c r="G32" s="134"/>
      <c r="H32" s="134"/>
      <c r="I32" s="134"/>
      <c r="J32" s="134"/>
      <c r="K32" s="135"/>
      <c r="O32" s="5"/>
      <c r="P32" s="5"/>
      <c r="Q32" s="5"/>
      <c r="R32" s="5"/>
      <c r="S32" s="5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36">
        <v>1.07</v>
      </c>
      <c r="O33" s="5"/>
      <c r="P33" s="5"/>
      <c r="Q33" s="5"/>
      <c r="R33" s="5"/>
      <c r="S33" s="5"/>
    </row>
    <row r="34" ht="14.25" customHeight="1">
      <c r="A34" s="2"/>
      <c r="B34" s="2"/>
      <c r="C34" s="2"/>
      <c r="D34" s="2"/>
      <c r="E34" s="2"/>
      <c r="F34" s="2"/>
      <c r="G34" s="3" t="s">
        <v>57</v>
      </c>
      <c r="H34" s="137"/>
      <c r="I34" s="137"/>
      <c r="J34" s="2"/>
      <c r="K34" s="138"/>
      <c r="L34" s="81">
        <f>8216693*L33</f>
        <v>8791861.51</v>
      </c>
      <c r="O34" s="5"/>
      <c r="P34" s="5"/>
      <c r="Q34" s="5"/>
      <c r="R34" s="5"/>
      <c r="S34" s="5"/>
    </row>
    <row r="35" ht="14.25" customHeight="1">
      <c r="A35" s="2"/>
      <c r="B35" s="2"/>
      <c r="C35" s="2"/>
      <c r="D35" s="2"/>
      <c r="E35" s="2"/>
      <c r="F35" s="2"/>
      <c r="G35" s="139" t="s">
        <v>58</v>
      </c>
      <c r="H35" s="140"/>
      <c r="I35" s="141" t="s">
        <v>59</v>
      </c>
      <c r="J35" s="2"/>
      <c r="K35" s="2"/>
      <c r="O35" s="5"/>
      <c r="P35" s="5"/>
      <c r="Q35" s="5"/>
      <c r="R35" s="5"/>
      <c r="S35" s="5"/>
    </row>
    <row r="36" ht="14.25" customHeight="1">
      <c r="A36" s="2"/>
      <c r="B36" s="2"/>
      <c r="C36" s="2"/>
      <c r="D36" s="2"/>
      <c r="E36" s="2"/>
      <c r="F36" s="2"/>
      <c r="G36" s="142" t="s">
        <v>60</v>
      </c>
      <c r="H36" s="143"/>
      <c r="I36" s="144" t="str">
        <f>'4. Командировочные'!B25</f>
        <v>#REF!</v>
      </c>
      <c r="J36" s="2"/>
      <c r="K36" s="2"/>
      <c r="O36" s="5"/>
      <c r="P36" s="5"/>
      <c r="Q36" s="5"/>
      <c r="R36" s="5"/>
      <c r="S36" s="5"/>
    </row>
    <row r="37" ht="14.25" customHeight="1">
      <c r="A37" s="2"/>
      <c r="B37" s="2"/>
      <c r="C37" s="2"/>
      <c r="D37" s="2"/>
      <c r="E37" s="2"/>
      <c r="F37" s="2"/>
      <c r="G37" s="145" t="s">
        <v>61</v>
      </c>
      <c r="H37" s="146"/>
      <c r="I37" s="147">
        <v>0.0</v>
      </c>
      <c r="J37" s="2"/>
      <c r="K37" s="2"/>
      <c r="O37" s="5"/>
      <c r="P37" s="5"/>
      <c r="Q37" s="5"/>
      <c r="R37" s="5"/>
      <c r="S37" s="5"/>
    </row>
    <row r="38" ht="14.25" customHeight="1">
      <c r="A38" s="2"/>
      <c r="B38" s="2"/>
      <c r="C38" s="2"/>
      <c r="D38" s="2"/>
      <c r="E38" s="2"/>
      <c r="F38" s="2"/>
      <c r="G38" s="145" t="s">
        <v>62</v>
      </c>
      <c r="H38" s="146"/>
      <c r="I38" s="148">
        <v>0.0</v>
      </c>
      <c r="J38" s="149"/>
      <c r="K38" s="2"/>
      <c r="O38" s="5"/>
      <c r="P38" s="5"/>
      <c r="Q38" s="5"/>
      <c r="R38" s="5"/>
      <c r="S38" s="5"/>
    </row>
    <row r="39" ht="14.25" customHeight="1">
      <c r="A39" s="2"/>
      <c r="B39" s="2"/>
      <c r="C39" s="2"/>
      <c r="D39" s="2"/>
      <c r="E39" s="2"/>
      <c r="F39" s="2"/>
      <c r="G39" s="150" t="s">
        <v>63</v>
      </c>
      <c r="H39" s="151"/>
      <c r="I39" s="152">
        <v>0.0</v>
      </c>
      <c r="J39" s="2"/>
      <c r="K39" s="2"/>
      <c r="O39" s="5"/>
      <c r="P39" s="5"/>
      <c r="Q39" s="5"/>
      <c r="R39" s="5"/>
      <c r="S39" s="5"/>
    </row>
    <row r="40" ht="14.25" customHeight="1">
      <c r="A40" s="2"/>
      <c r="B40" s="2"/>
      <c r="C40" s="2"/>
      <c r="D40" s="2"/>
      <c r="E40" s="2"/>
      <c r="F40" s="2"/>
      <c r="G40" s="153" t="s">
        <v>64</v>
      </c>
      <c r="H40" s="154"/>
      <c r="I40" s="155" t="str">
        <f>IF(A12="Бюджетирование предусматривает дополнительный рост себестоимости на 10%",SUM(I36:I39)*1.1,SUM(I36:I39))</f>
        <v>#REF!</v>
      </c>
      <c r="J40" s="83" t="s">
        <v>65</v>
      </c>
      <c r="K40" s="2"/>
      <c r="O40" s="5"/>
      <c r="P40" s="5"/>
      <c r="Q40" s="5"/>
      <c r="R40" s="5"/>
      <c r="S40" s="5"/>
    </row>
    <row r="41" ht="14.25" customHeight="1">
      <c r="A41" s="2"/>
      <c r="B41" s="2"/>
      <c r="C41" s="2"/>
      <c r="D41" s="2"/>
      <c r="E41" s="2"/>
      <c r="F41" s="2"/>
      <c r="G41" s="153" t="s">
        <v>66</v>
      </c>
      <c r="H41" s="154"/>
      <c r="I41" s="156" t="str">
        <f>cost2*1.05</f>
        <v>#REF!</v>
      </c>
      <c r="J41" s="83" t="s">
        <v>67</v>
      </c>
      <c r="K41" s="2"/>
      <c r="O41" s="5"/>
      <c r="P41" s="5"/>
      <c r="Q41" s="5"/>
      <c r="R41" s="5"/>
      <c r="S41" s="5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O42" s="5"/>
      <c r="P42" s="5"/>
      <c r="Q42" s="5"/>
      <c r="R42" s="5"/>
      <c r="S42" s="5"/>
    </row>
    <row r="43" ht="14.25" customHeight="1">
      <c r="A43" s="2"/>
      <c r="B43" s="157"/>
      <c r="C43" s="2"/>
      <c r="D43" s="2"/>
      <c r="E43" s="2"/>
      <c r="F43" s="2"/>
      <c r="G43" s="2"/>
      <c r="H43" s="2"/>
      <c r="I43" s="2"/>
      <c r="J43" s="2"/>
      <c r="K43" s="2"/>
      <c r="O43" s="5"/>
      <c r="P43" s="5"/>
      <c r="Q43" s="5"/>
      <c r="R43" s="5"/>
      <c r="S43" s="5"/>
    </row>
    <row r="44" ht="15.0" hidden="1" customHeight="1">
      <c r="A44" s="2"/>
      <c r="B44" s="2"/>
      <c r="C44" s="2"/>
      <c r="D44" s="2"/>
      <c r="E44" s="2"/>
      <c r="F44" s="2"/>
      <c r="G44" s="1" t="s">
        <v>68</v>
      </c>
      <c r="H44" s="137"/>
      <c r="I44" s="137"/>
      <c r="J44" s="137"/>
      <c r="K44" s="137"/>
      <c r="O44" s="5"/>
      <c r="P44" s="5"/>
      <c r="Q44" s="5"/>
      <c r="R44" s="5"/>
      <c r="S44" s="5"/>
    </row>
    <row r="45" ht="15.0" hidden="1" customHeight="1">
      <c r="A45" s="2"/>
      <c r="B45" s="2"/>
      <c r="C45" s="2"/>
      <c r="D45" s="2"/>
      <c r="E45" s="2"/>
      <c r="F45" s="2"/>
      <c r="G45" s="158" t="s">
        <v>69</v>
      </c>
      <c r="H45" s="159"/>
      <c r="I45" s="160" t="str">
        <f>cost1+cost2</f>
        <v>#REF!</v>
      </c>
      <c r="J45" s="137"/>
      <c r="K45" s="161" t="s">
        <v>70</v>
      </c>
      <c r="O45" s="5"/>
      <c r="P45" s="5"/>
      <c r="Q45" s="5"/>
      <c r="R45" s="5"/>
      <c r="S45" s="5"/>
    </row>
    <row r="46" ht="14.25" hidden="1" customHeight="1">
      <c r="A46" s="2"/>
      <c r="B46" s="2"/>
      <c r="C46" s="2"/>
      <c r="D46" s="2"/>
      <c r="E46" s="2"/>
      <c r="F46" s="2"/>
      <c r="G46" s="158" t="s">
        <v>71</v>
      </c>
      <c r="H46" s="162"/>
      <c r="I46" s="162">
        <f>1/((1-K46)*(1-0.005))</f>
        <v>1.182382501</v>
      </c>
      <c r="J46" s="137"/>
      <c r="K46" s="163">
        <v>0.15</v>
      </c>
      <c r="O46" s="5"/>
      <c r="P46" s="5"/>
      <c r="Q46" s="5"/>
      <c r="R46" s="5"/>
      <c r="S46" s="5"/>
    </row>
    <row r="47" ht="21.0" hidden="1" customHeight="1">
      <c r="A47" s="2"/>
      <c r="B47" s="2"/>
      <c r="C47" s="2"/>
      <c r="D47" s="2"/>
      <c r="E47" s="2"/>
      <c r="F47" s="2"/>
      <c r="G47" s="158" t="s">
        <v>72</v>
      </c>
      <c r="H47" s="159"/>
      <c r="I47" s="159" t="str">
        <f>price_1*0.005</f>
        <v>#REF!</v>
      </c>
      <c r="J47" s="137"/>
      <c r="K47" s="137"/>
      <c r="O47" s="5"/>
      <c r="P47" s="5"/>
      <c r="Q47" s="5"/>
      <c r="R47" s="5"/>
      <c r="S47" s="5"/>
    </row>
    <row r="48" ht="14.25" hidden="1" customHeight="1">
      <c r="A48" s="2"/>
      <c r="B48" s="2"/>
      <c r="C48" s="2"/>
      <c r="D48" s="2"/>
      <c r="E48" s="164"/>
      <c r="F48" s="2"/>
      <c r="G48" s="158" t="s">
        <v>73</v>
      </c>
      <c r="H48" s="159"/>
      <c r="I48" s="159" t="str">
        <f>price_1-cost2-I47</f>
        <v>#REF!</v>
      </c>
      <c r="J48" s="137"/>
      <c r="K48" s="2"/>
      <c r="O48" s="5"/>
      <c r="P48" s="5"/>
      <c r="Q48" s="5"/>
      <c r="R48" s="5"/>
      <c r="S48" s="5"/>
    </row>
    <row r="49" ht="18.0" hidden="1" customHeight="1">
      <c r="A49" s="2"/>
      <c r="B49" s="2"/>
      <c r="C49" s="2"/>
      <c r="D49" s="2"/>
      <c r="E49" s="164"/>
      <c r="F49" s="2"/>
      <c r="G49" s="165" t="s">
        <v>74</v>
      </c>
      <c r="H49" s="166"/>
      <c r="I49" s="167" t="str">
        <f>price_1-cost_3-I47</f>
        <v>#REF!</v>
      </c>
      <c r="J49" s="168"/>
      <c r="K49" s="2"/>
      <c r="O49" s="5"/>
      <c r="P49" s="5"/>
      <c r="Q49" s="5"/>
      <c r="R49" s="5"/>
      <c r="S49" s="5"/>
    </row>
    <row r="50" ht="22.5" hidden="1" customHeight="1">
      <c r="A50" s="2"/>
      <c r="B50" s="2"/>
      <c r="C50" s="2"/>
      <c r="D50" s="2"/>
      <c r="E50" s="2"/>
      <c r="F50" s="164"/>
      <c r="G50" s="169" t="s">
        <v>75</v>
      </c>
      <c r="H50" s="170"/>
      <c r="I50" s="171" t="str">
        <f>cost_3*I46</f>
        <v>#REF!</v>
      </c>
      <c r="J50" s="172"/>
      <c r="K50" s="2"/>
      <c r="L50" s="164"/>
      <c r="M50" s="164"/>
      <c r="N50" s="164"/>
      <c r="O50" s="5"/>
      <c r="P50" s="5"/>
      <c r="Q50" s="5"/>
      <c r="R50" s="5"/>
      <c r="S50" s="5"/>
    </row>
    <row r="51" ht="14.25" hidden="1" customHeight="1">
      <c r="A51" s="2"/>
      <c r="B51" s="2"/>
      <c r="C51" s="2"/>
      <c r="D51" s="2"/>
      <c r="E51" s="2"/>
      <c r="F51" s="164"/>
      <c r="G51" s="172"/>
      <c r="H51" s="2"/>
      <c r="I51" s="2"/>
      <c r="J51" s="2"/>
      <c r="K51" s="2"/>
      <c r="L51" s="164"/>
      <c r="M51" s="164"/>
      <c r="N51" s="164"/>
      <c r="O51" s="5"/>
      <c r="P51" s="5"/>
      <c r="Q51" s="5"/>
      <c r="R51" s="5"/>
      <c r="S51" s="5"/>
    </row>
    <row r="52" ht="15.0" hidden="1" customHeight="1">
      <c r="A52" s="2"/>
      <c r="B52" s="2"/>
      <c r="C52" s="2"/>
      <c r="D52" s="2"/>
      <c r="E52" s="2"/>
      <c r="F52" s="2"/>
      <c r="G52" s="173" t="s">
        <v>76</v>
      </c>
      <c r="H52" s="174"/>
      <c r="I52" s="175" t="s">
        <v>77</v>
      </c>
      <c r="J52" s="2"/>
      <c r="K52" s="2"/>
      <c r="L52" s="2"/>
      <c r="M52" s="2"/>
      <c r="N52" s="2"/>
      <c r="O52" s="5"/>
      <c r="P52" s="5"/>
      <c r="Q52" s="5"/>
      <c r="R52" s="5"/>
      <c r="S52" s="5"/>
    </row>
    <row r="53" ht="15.0" hidden="1" customHeight="1">
      <c r="A53" s="2"/>
      <c r="B53" s="2"/>
      <c r="C53" s="2"/>
      <c r="D53" s="2"/>
      <c r="E53" s="2"/>
      <c r="F53" s="2"/>
      <c r="G53" s="176" t="s">
        <v>69</v>
      </c>
      <c r="H53" s="177"/>
      <c r="I53" s="167" t="str">
        <f>cost_1nds+cost_2nds</f>
        <v>#REF!</v>
      </c>
      <c r="J53" s="2"/>
      <c r="K53" s="2"/>
      <c r="L53" s="2"/>
      <c r="M53" s="2"/>
      <c r="N53" s="2"/>
      <c r="O53" s="5"/>
      <c r="P53" s="5"/>
      <c r="Q53" s="5"/>
      <c r="R53" s="5"/>
      <c r="S53" s="5"/>
    </row>
    <row r="54" ht="14.25" hidden="1" customHeight="1">
      <c r="A54" s="2"/>
      <c r="B54" s="2"/>
      <c r="C54" s="2"/>
      <c r="D54" s="2"/>
      <c r="E54" s="2"/>
      <c r="F54" s="2"/>
      <c r="G54" s="176" t="s">
        <v>71</v>
      </c>
      <c r="H54" s="178"/>
      <c r="I54" s="179">
        <f>1/((1-K46)*(1-0.005))</f>
        <v>1.182382501</v>
      </c>
      <c r="J54" s="2"/>
      <c r="K54" s="2"/>
      <c r="O54" s="5"/>
      <c r="P54" s="5"/>
      <c r="Q54" s="5"/>
      <c r="R54" s="5"/>
      <c r="S54" s="5"/>
    </row>
    <row r="55" ht="14.25" hidden="1" customHeight="1">
      <c r="A55" s="2"/>
      <c r="B55" s="2"/>
      <c r="C55" s="2"/>
      <c r="D55" s="2"/>
      <c r="E55" s="2"/>
      <c r="F55" s="2"/>
      <c r="G55" s="158" t="s">
        <v>72</v>
      </c>
      <c r="H55" s="166"/>
      <c r="I55" s="167" t="str">
        <f>price_1nds*0.005</f>
        <v>#REF!</v>
      </c>
      <c r="J55" s="2"/>
      <c r="K55" s="2"/>
      <c r="O55" s="5"/>
      <c r="P55" s="5"/>
      <c r="Q55" s="5"/>
      <c r="R55" s="5"/>
      <c r="S55" s="5"/>
    </row>
    <row r="56" ht="14.25" hidden="1" customHeight="1">
      <c r="A56" s="2"/>
      <c r="B56" s="2"/>
      <c r="C56" s="2"/>
      <c r="D56" s="2"/>
      <c r="E56" s="2"/>
      <c r="F56" s="2"/>
      <c r="G56" s="176" t="s">
        <v>73</v>
      </c>
      <c r="H56" s="177"/>
      <c r="I56" s="167" t="str">
        <f>price_1nds-cost_2nds-I55</f>
        <v>#REF!</v>
      </c>
      <c r="J56" s="164"/>
      <c r="K56" s="164"/>
      <c r="O56" s="5"/>
      <c r="P56" s="5"/>
      <c r="Q56" s="5"/>
      <c r="R56" s="5"/>
      <c r="S56" s="5"/>
    </row>
    <row r="57" ht="14.25" hidden="1" customHeight="1">
      <c r="A57" s="2"/>
      <c r="B57" s="2"/>
      <c r="C57" s="2"/>
      <c r="D57" s="2"/>
      <c r="E57" s="2"/>
      <c r="F57" s="2"/>
      <c r="G57" s="176" t="s">
        <v>74</v>
      </c>
      <c r="H57" s="177"/>
      <c r="I57" s="167" t="str">
        <f>price_1nds-cost_3nds-I55</f>
        <v>#REF!</v>
      </c>
      <c r="J57" s="164"/>
      <c r="K57" s="164"/>
      <c r="O57" s="5"/>
      <c r="P57" s="5"/>
      <c r="Q57" s="5"/>
      <c r="R57" s="5"/>
      <c r="S57" s="5"/>
    </row>
    <row r="58" ht="14.25" hidden="1" customHeight="1">
      <c r="A58" s="2"/>
      <c r="B58" s="2"/>
      <c r="C58" s="2"/>
      <c r="D58" s="2"/>
      <c r="E58" s="2"/>
      <c r="F58" s="2"/>
      <c r="G58" s="180" t="s">
        <v>78</v>
      </c>
      <c r="H58" s="170"/>
      <c r="I58" s="171" t="str">
        <f>cost_3nds*I54</f>
        <v>#REF!</v>
      </c>
      <c r="J58" s="2"/>
      <c r="K58" s="2"/>
      <c r="O58" s="5"/>
      <c r="P58" s="5"/>
      <c r="Q58" s="5"/>
      <c r="R58" s="5"/>
      <c r="S58" s="5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O59" s="5"/>
      <c r="P59" s="5"/>
      <c r="Q59" s="5"/>
      <c r="R59" s="5"/>
      <c r="S59" s="5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O60" s="5"/>
      <c r="P60" s="5"/>
      <c r="Q60" s="5"/>
      <c r="R60" s="5"/>
      <c r="S60" s="5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O61" s="5"/>
      <c r="P61" s="5"/>
      <c r="Q61" s="5"/>
      <c r="R61" s="5"/>
      <c r="S61" s="5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O62" s="5"/>
      <c r="P62" s="5"/>
      <c r="Q62" s="5"/>
      <c r="R62" s="5"/>
      <c r="S62" s="5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O63" s="5"/>
      <c r="P63" s="5"/>
      <c r="Q63" s="5"/>
      <c r="R63" s="5"/>
      <c r="S63" s="5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O64" s="5"/>
      <c r="P64" s="5"/>
      <c r="Q64" s="5"/>
      <c r="R64" s="5"/>
      <c r="S64" s="5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O65" s="5"/>
      <c r="P65" s="5"/>
      <c r="Q65" s="5"/>
      <c r="R65" s="5"/>
      <c r="S65" s="5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O66" s="5"/>
      <c r="P66" s="5"/>
      <c r="Q66" s="5"/>
      <c r="R66" s="5"/>
      <c r="S66" s="5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O67" s="5"/>
      <c r="P67" s="5"/>
      <c r="Q67" s="5"/>
      <c r="R67" s="5"/>
      <c r="S67" s="5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O68" s="5"/>
      <c r="P68" s="5"/>
      <c r="Q68" s="5"/>
      <c r="R68" s="5"/>
      <c r="S68" s="5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O69" s="5"/>
      <c r="P69" s="5"/>
      <c r="Q69" s="5"/>
      <c r="R69" s="5"/>
      <c r="S69" s="5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O70" s="5"/>
      <c r="P70" s="5"/>
      <c r="Q70" s="5"/>
      <c r="R70" s="5"/>
      <c r="S70" s="5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O71" s="5"/>
      <c r="P71" s="5"/>
      <c r="Q71" s="5"/>
      <c r="R71" s="5"/>
      <c r="S71" s="5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O72" s="5"/>
      <c r="P72" s="5"/>
      <c r="Q72" s="5"/>
      <c r="R72" s="5"/>
      <c r="S72" s="5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O73" s="5"/>
      <c r="P73" s="5"/>
      <c r="Q73" s="5"/>
      <c r="R73" s="5"/>
      <c r="S73" s="5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O74" s="5"/>
      <c r="P74" s="5"/>
      <c r="Q74" s="5"/>
      <c r="R74" s="5"/>
      <c r="S74" s="5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O75" s="5"/>
      <c r="P75" s="5"/>
      <c r="Q75" s="5"/>
      <c r="R75" s="5"/>
      <c r="S75" s="5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O76" s="5"/>
      <c r="P76" s="5"/>
      <c r="Q76" s="5"/>
      <c r="R76" s="5"/>
      <c r="S76" s="5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O77" s="5"/>
      <c r="P77" s="5"/>
      <c r="Q77" s="5"/>
      <c r="R77" s="5"/>
      <c r="S77" s="5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O78" s="5"/>
      <c r="P78" s="5"/>
      <c r="Q78" s="5"/>
      <c r="R78" s="5"/>
      <c r="S78" s="5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O79" s="5"/>
      <c r="P79" s="5"/>
      <c r="Q79" s="5"/>
      <c r="R79" s="5"/>
      <c r="S79" s="5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O80" s="5"/>
      <c r="P80" s="5"/>
      <c r="Q80" s="5"/>
      <c r="R80" s="5"/>
      <c r="S80" s="5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O81" s="5"/>
      <c r="P81" s="5"/>
      <c r="Q81" s="5"/>
      <c r="R81" s="5"/>
      <c r="S81" s="5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O82" s="5"/>
      <c r="P82" s="5"/>
      <c r="Q82" s="5"/>
      <c r="R82" s="5"/>
      <c r="S82" s="5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O83" s="5"/>
      <c r="P83" s="5"/>
      <c r="Q83" s="5"/>
      <c r="R83" s="5"/>
      <c r="S83" s="5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O84" s="5"/>
      <c r="P84" s="5"/>
      <c r="Q84" s="5"/>
      <c r="R84" s="5"/>
      <c r="S84" s="5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O85" s="5"/>
      <c r="P85" s="5"/>
      <c r="Q85" s="5"/>
      <c r="R85" s="5"/>
      <c r="S85" s="5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O86" s="5"/>
      <c r="P86" s="5"/>
      <c r="Q86" s="5"/>
      <c r="R86" s="5"/>
      <c r="S86" s="5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O87" s="5"/>
      <c r="P87" s="5"/>
      <c r="Q87" s="5"/>
      <c r="R87" s="5"/>
      <c r="S87" s="5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O88" s="5"/>
      <c r="P88" s="5"/>
      <c r="Q88" s="5"/>
      <c r="R88" s="5"/>
      <c r="S88" s="5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O89" s="5"/>
      <c r="P89" s="5"/>
      <c r="Q89" s="5"/>
      <c r="R89" s="5"/>
      <c r="S89" s="5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O90" s="5"/>
      <c r="P90" s="5"/>
      <c r="Q90" s="5"/>
      <c r="R90" s="5"/>
      <c r="S90" s="5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O91" s="5"/>
      <c r="P91" s="5"/>
      <c r="Q91" s="5"/>
      <c r="R91" s="5"/>
      <c r="S91" s="5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O92" s="5"/>
      <c r="P92" s="5"/>
      <c r="Q92" s="5"/>
      <c r="R92" s="5"/>
      <c r="S92" s="5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O93" s="5"/>
      <c r="P93" s="5"/>
      <c r="Q93" s="5"/>
      <c r="R93" s="5"/>
      <c r="S93" s="5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O94" s="5"/>
      <c r="P94" s="5"/>
      <c r="Q94" s="5"/>
      <c r="R94" s="5"/>
      <c r="S94" s="5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O95" s="5"/>
      <c r="P95" s="5"/>
      <c r="Q95" s="5"/>
      <c r="R95" s="5"/>
      <c r="S95" s="5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O96" s="5"/>
      <c r="P96" s="5"/>
      <c r="Q96" s="5"/>
      <c r="R96" s="5"/>
      <c r="S96" s="5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O97" s="5"/>
      <c r="P97" s="5"/>
      <c r="Q97" s="5"/>
      <c r="R97" s="5"/>
      <c r="S97" s="5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O98" s="5"/>
      <c r="P98" s="5"/>
      <c r="Q98" s="5"/>
      <c r="R98" s="5"/>
      <c r="S98" s="5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O99" s="5"/>
      <c r="P99" s="5"/>
      <c r="Q99" s="5"/>
      <c r="R99" s="5"/>
      <c r="S99" s="5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O100" s="5"/>
      <c r="P100" s="5"/>
      <c r="Q100" s="5"/>
      <c r="R100" s="5"/>
      <c r="S100" s="5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O101" s="5"/>
      <c r="P101" s="5"/>
      <c r="Q101" s="5"/>
      <c r="R101" s="5"/>
      <c r="S101" s="5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O102" s="5"/>
      <c r="P102" s="5"/>
      <c r="Q102" s="5"/>
      <c r="R102" s="5"/>
      <c r="S102" s="5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O103" s="5"/>
      <c r="P103" s="5"/>
      <c r="Q103" s="5"/>
      <c r="R103" s="5"/>
      <c r="S103" s="5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O104" s="5"/>
      <c r="P104" s="5"/>
      <c r="Q104" s="5"/>
      <c r="R104" s="5"/>
      <c r="S104" s="5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O105" s="5"/>
      <c r="P105" s="5"/>
      <c r="Q105" s="5"/>
      <c r="R105" s="5"/>
      <c r="S105" s="5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O106" s="5"/>
      <c r="P106" s="5"/>
      <c r="Q106" s="5"/>
      <c r="R106" s="5"/>
      <c r="S106" s="5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O107" s="5"/>
      <c r="P107" s="5"/>
      <c r="Q107" s="5"/>
      <c r="R107" s="5"/>
      <c r="S107" s="5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O108" s="5"/>
      <c r="P108" s="5"/>
      <c r="Q108" s="5"/>
      <c r="R108" s="5"/>
      <c r="S108" s="5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O109" s="5"/>
      <c r="P109" s="5"/>
      <c r="Q109" s="5"/>
      <c r="R109" s="5"/>
      <c r="S109" s="5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O110" s="5"/>
      <c r="P110" s="5"/>
      <c r="Q110" s="5"/>
      <c r="R110" s="5"/>
      <c r="S110" s="5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O111" s="5"/>
      <c r="P111" s="5"/>
      <c r="Q111" s="5"/>
      <c r="R111" s="5"/>
      <c r="S111" s="5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O112" s="5"/>
      <c r="P112" s="5"/>
      <c r="Q112" s="5"/>
      <c r="R112" s="5"/>
      <c r="S112" s="5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O113" s="5"/>
      <c r="P113" s="5"/>
      <c r="Q113" s="5"/>
      <c r="R113" s="5"/>
      <c r="S113" s="5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O114" s="5"/>
      <c r="P114" s="5"/>
      <c r="Q114" s="5"/>
      <c r="R114" s="5"/>
      <c r="S114" s="5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O115" s="5"/>
      <c r="P115" s="5"/>
      <c r="Q115" s="5"/>
      <c r="R115" s="5"/>
      <c r="S115" s="5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O116" s="5"/>
      <c r="P116" s="5"/>
      <c r="Q116" s="5"/>
      <c r="R116" s="5"/>
      <c r="S116" s="5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O117" s="5"/>
      <c r="P117" s="5"/>
      <c r="Q117" s="5"/>
      <c r="R117" s="5"/>
      <c r="S117" s="5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O118" s="5"/>
      <c r="P118" s="5"/>
      <c r="Q118" s="5"/>
      <c r="R118" s="5"/>
      <c r="S118" s="5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O119" s="5"/>
      <c r="P119" s="5"/>
      <c r="Q119" s="5"/>
      <c r="R119" s="5"/>
      <c r="S119" s="5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O120" s="5"/>
      <c r="P120" s="5"/>
      <c r="Q120" s="5"/>
      <c r="R120" s="5"/>
      <c r="S120" s="5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O121" s="5"/>
      <c r="P121" s="5"/>
      <c r="Q121" s="5"/>
      <c r="R121" s="5"/>
      <c r="S121" s="5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O122" s="5"/>
      <c r="P122" s="5"/>
      <c r="Q122" s="5"/>
      <c r="R122" s="5"/>
      <c r="S122" s="5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O123" s="5"/>
      <c r="P123" s="5"/>
      <c r="Q123" s="5"/>
      <c r="R123" s="5"/>
      <c r="S123" s="5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O124" s="5"/>
      <c r="P124" s="5"/>
      <c r="Q124" s="5"/>
      <c r="R124" s="5"/>
      <c r="S124" s="5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O125" s="5"/>
      <c r="P125" s="5"/>
      <c r="Q125" s="5"/>
      <c r="R125" s="5"/>
      <c r="S125" s="5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O126" s="5"/>
      <c r="P126" s="5"/>
      <c r="Q126" s="5"/>
      <c r="R126" s="5"/>
      <c r="S126" s="5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O127" s="5"/>
      <c r="P127" s="5"/>
      <c r="Q127" s="5"/>
      <c r="R127" s="5"/>
      <c r="S127" s="5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O128" s="5"/>
      <c r="P128" s="5"/>
      <c r="Q128" s="5"/>
      <c r="R128" s="5"/>
      <c r="S128" s="5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O129" s="5"/>
      <c r="P129" s="5"/>
      <c r="Q129" s="5"/>
      <c r="R129" s="5"/>
      <c r="S129" s="5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O130" s="5"/>
      <c r="P130" s="5"/>
      <c r="Q130" s="5"/>
      <c r="R130" s="5"/>
      <c r="S130" s="5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O131" s="5"/>
      <c r="P131" s="5"/>
      <c r="Q131" s="5"/>
      <c r="R131" s="5"/>
      <c r="S131" s="5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O132" s="5"/>
      <c r="P132" s="5"/>
      <c r="Q132" s="5"/>
      <c r="R132" s="5"/>
      <c r="S132" s="5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O133" s="5"/>
      <c r="P133" s="5"/>
      <c r="Q133" s="5"/>
      <c r="R133" s="5"/>
      <c r="S133" s="5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O134" s="5"/>
      <c r="P134" s="5"/>
      <c r="Q134" s="5"/>
      <c r="R134" s="5"/>
      <c r="S134" s="5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O135" s="5"/>
      <c r="P135" s="5"/>
      <c r="Q135" s="5"/>
      <c r="R135" s="5"/>
      <c r="S135" s="5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O136" s="5"/>
      <c r="P136" s="5"/>
      <c r="Q136" s="5"/>
      <c r="R136" s="5"/>
      <c r="S136" s="5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O137" s="5"/>
      <c r="P137" s="5"/>
      <c r="Q137" s="5"/>
      <c r="R137" s="5"/>
      <c r="S137" s="5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O138" s="5"/>
      <c r="P138" s="5"/>
      <c r="Q138" s="5"/>
      <c r="R138" s="5"/>
      <c r="S138" s="5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O139" s="5"/>
      <c r="P139" s="5"/>
      <c r="Q139" s="5"/>
      <c r="R139" s="5"/>
      <c r="S139" s="5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O140" s="5"/>
      <c r="P140" s="5"/>
      <c r="Q140" s="5"/>
      <c r="R140" s="5"/>
      <c r="S140" s="5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O141" s="5"/>
      <c r="P141" s="5"/>
      <c r="Q141" s="5"/>
      <c r="R141" s="5"/>
      <c r="S141" s="5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O142" s="5"/>
      <c r="P142" s="5"/>
      <c r="Q142" s="5"/>
      <c r="R142" s="5"/>
      <c r="S142" s="5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O143" s="5"/>
      <c r="P143" s="5"/>
      <c r="Q143" s="5"/>
      <c r="R143" s="5"/>
      <c r="S143" s="5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O144" s="5"/>
      <c r="P144" s="5"/>
      <c r="Q144" s="5"/>
      <c r="R144" s="5"/>
      <c r="S144" s="5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O145" s="5"/>
      <c r="P145" s="5"/>
      <c r="Q145" s="5"/>
      <c r="R145" s="5"/>
      <c r="S145" s="5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O146" s="5"/>
      <c r="P146" s="5"/>
      <c r="Q146" s="5"/>
      <c r="R146" s="5"/>
      <c r="S146" s="5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O147" s="5"/>
      <c r="P147" s="5"/>
      <c r="Q147" s="5"/>
      <c r="R147" s="5"/>
      <c r="S147" s="5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O148" s="5"/>
      <c r="P148" s="5"/>
      <c r="Q148" s="5"/>
      <c r="R148" s="5"/>
      <c r="S148" s="5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O149" s="5"/>
      <c r="P149" s="5"/>
      <c r="Q149" s="5"/>
      <c r="R149" s="5"/>
      <c r="S149" s="5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O150" s="5"/>
      <c r="P150" s="5"/>
      <c r="Q150" s="5"/>
      <c r="R150" s="5"/>
      <c r="S150" s="5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O151" s="5"/>
      <c r="P151" s="5"/>
      <c r="Q151" s="5"/>
      <c r="R151" s="5"/>
      <c r="S151" s="5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O152" s="5"/>
      <c r="P152" s="5"/>
      <c r="Q152" s="5"/>
      <c r="R152" s="5"/>
      <c r="S152" s="5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O153" s="5"/>
      <c r="P153" s="5"/>
      <c r="Q153" s="5"/>
      <c r="R153" s="5"/>
      <c r="S153" s="5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O154" s="5"/>
      <c r="P154" s="5"/>
      <c r="Q154" s="5"/>
      <c r="R154" s="5"/>
      <c r="S154" s="5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O155" s="5"/>
      <c r="P155" s="5"/>
      <c r="Q155" s="5"/>
      <c r="R155" s="5"/>
      <c r="S155" s="5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O156" s="5"/>
      <c r="P156" s="5"/>
      <c r="Q156" s="5"/>
      <c r="R156" s="5"/>
      <c r="S156" s="5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O157" s="5"/>
      <c r="P157" s="5"/>
      <c r="Q157" s="5"/>
      <c r="R157" s="5"/>
      <c r="S157" s="5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O158" s="5"/>
      <c r="P158" s="5"/>
      <c r="Q158" s="5"/>
      <c r="R158" s="5"/>
      <c r="S158" s="5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O159" s="5"/>
      <c r="P159" s="5"/>
      <c r="Q159" s="5"/>
      <c r="R159" s="5"/>
      <c r="S159" s="5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O160" s="5"/>
      <c r="P160" s="5"/>
      <c r="Q160" s="5"/>
      <c r="R160" s="5"/>
      <c r="S160" s="5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O161" s="5"/>
      <c r="P161" s="5"/>
      <c r="Q161" s="5"/>
      <c r="R161" s="5"/>
      <c r="S161" s="5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O162" s="5"/>
      <c r="P162" s="5"/>
      <c r="Q162" s="5"/>
      <c r="R162" s="5"/>
      <c r="S162" s="5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O163" s="5"/>
      <c r="P163" s="5"/>
      <c r="Q163" s="5"/>
      <c r="R163" s="5"/>
      <c r="S163" s="5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O164" s="5"/>
      <c r="P164" s="5"/>
      <c r="Q164" s="5"/>
      <c r="R164" s="5"/>
      <c r="S164" s="5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O165" s="5"/>
      <c r="P165" s="5"/>
      <c r="Q165" s="5"/>
      <c r="R165" s="5"/>
      <c r="S165" s="5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O166" s="5"/>
      <c r="P166" s="5"/>
      <c r="Q166" s="5"/>
      <c r="R166" s="5"/>
      <c r="S166" s="5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O167" s="5"/>
      <c r="P167" s="5"/>
      <c r="Q167" s="5"/>
      <c r="R167" s="5"/>
      <c r="S167" s="5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O168" s="5"/>
      <c r="P168" s="5"/>
      <c r="Q168" s="5"/>
      <c r="R168" s="5"/>
      <c r="S168" s="5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O169" s="5"/>
      <c r="P169" s="5"/>
      <c r="Q169" s="5"/>
      <c r="R169" s="5"/>
      <c r="S169" s="5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O170" s="5"/>
      <c r="P170" s="5"/>
      <c r="Q170" s="5"/>
      <c r="R170" s="5"/>
      <c r="S170" s="5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O171" s="5"/>
      <c r="P171" s="5"/>
      <c r="Q171" s="5"/>
      <c r="R171" s="5"/>
      <c r="S171" s="5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O172" s="5"/>
      <c r="P172" s="5"/>
      <c r="Q172" s="5"/>
      <c r="R172" s="5"/>
      <c r="S172" s="5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O173" s="5"/>
      <c r="P173" s="5"/>
      <c r="Q173" s="5"/>
      <c r="R173" s="5"/>
      <c r="S173" s="5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O174" s="5"/>
      <c r="P174" s="5"/>
      <c r="Q174" s="5"/>
      <c r="R174" s="5"/>
      <c r="S174" s="5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O175" s="5"/>
      <c r="P175" s="5"/>
      <c r="Q175" s="5"/>
      <c r="R175" s="5"/>
      <c r="S175" s="5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O176" s="5"/>
      <c r="P176" s="5"/>
      <c r="Q176" s="5"/>
      <c r="R176" s="5"/>
      <c r="S176" s="5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O177" s="5"/>
      <c r="P177" s="5"/>
      <c r="Q177" s="5"/>
      <c r="R177" s="5"/>
      <c r="S177" s="5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O178" s="5"/>
      <c r="P178" s="5"/>
      <c r="Q178" s="5"/>
      <c r="R178" s="5"/>
      <c r="S178" s="5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O179" s="5"/>
      <c r="P179" s="5"/>
      <c r="Q179" s="5"/>
      <c r="R179" s="5"/>
      <c r="S179" s="5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O180" s="5"/>
      <c r="P180" s="5"/>
      <c r="Q180" s="5"/>
      <c r="R180" s="5"/>
      <c r="S180" s="5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O181" s="5"/>
      <c r="P181" s="5"/>
      <c r="Q181" s="5"/>
      <c r="R181" s="5"/>
      <c r="S181" s="5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O182" s="5"/>
      <c r="P182" s="5"/>
      <c r="Q182" s="5"/>
      <c r="R182" s="5"/>
      <c r="S182" s="5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O183" s="5"/>
      <c r="P183" s="5"/>
      <c r="Q183" s="5"/>
      <c r="R183" s="5"/>
      <c r="S183" s="5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O184" s="5"/>
      <c r="P184" s="5"/>
      <c r="Q184" s="5"/>
      <c r="R184" s="5"/>
      <c r="S184" s="5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O185" s="5"/>
      <c r="P185" s="5"/>
      <c r="Q185" s="5"/>
      <c r="R185" s="5"/>
      <c r="S185" s="5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O186" s="5"/>
      <c r="P186" s="5"/>
      <c r="Q186" s="5"/>
      <c r="R186" s="5"/>
      <c r="S186" s="5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O187" s="5"/>
      <c r="P187" s="5"/>
      <c r="Q187" s="5"/>
      <c r="R187" s="5"/>
      <c r="S187" s="5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O188" s="5"/>
      <c r="P188" s="5"/>
      <c r="Q188" s="5"/>
      <c r="R188" s="5"/>
      <c r="S188" s="5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O189" s="5"/>
      <c r="P189" s="5"/>
      <c r="Q189" s="5"/>
      <c r="R189" s="5"/>
      <c r="S189" s="5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O190" s="5"/>
      <c r="P190" s="5"/>
      <c r="Q190" s="5"/>
      <c r="R190" s="5"/>
      <c r="S190" s="5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O191" s="5"/>
      <c r="P191" s="5"/>
      <c r="Q191" s="5"/>
      <c r="R191" s="5"/>
      <c r="S191" s="5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O192" s="5"/>
      <c r="P192" s="5"/>
      <c r="Q192" s="5"/>
      <c r="R192" s="5"/>
      <c r="S192" s="5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O193" s="5"/>
      <c r="P193" s="5"/>
      <c r="Q193" s="5"/>
      <c r="R193" s="5"/>
      <c r="S193" s="5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O194" s="5"/>
      <c r="P194" s="5"/>
      <c r="Q194" s="5"/>
      <c r="R194" s="5"/>
      <c r="S194" s="5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O195" s="5"/>
      <c r="P195" s="5"/>
      <c r="Q195" s="5"/>
      <c r="R195" s="5"/>
      <c r="S195" s="5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O196" s="5"/>
      <c r="P196" s="5"/>
      <c r="Q196" s="5"/>
      <c r="R196" s="5"/>
      <c r="S196" s="5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O197" s="5"/>
      <c r="P197" s="5"/>
      <c r="Q197" s="5"/>
      <c r="R197" s="5"/>
      <c r="S197" s="5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O198" s="5"/>
      <c r="P198" s="5"/>
      <c r="Q198" s="5"/>
      <c r="R198" s="5"/>
      <c r="S198" s="5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O199" s="5"/>
      <c r="P199" s="5"/>
      <c r="Q199" s="5"/>
      <c r="R199" s="5"/>
      <c r="S199" s="5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O200" s="5"/>
      <c r="P200" s="5"/>
      <c r="Q200" s="5"/>
      <c r="R200" s="5"/>
      <c r="S200" s="5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O201" s="5"/>
      <c r="P201" s="5"/>
      <c r="Q201" s="5"/>
      <c r="R201" s="5"/>
      <c r="S201" s="5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O202" s="5"/>
      <c r="P202" s="5"/>
      <c r="Q202" s="5"/>
      <c r="R202" s="5"/>
      <c r="S202" s="5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O203" s="5"/>
      <c r="P203" s="5"/>
      <c r="Q203" s="5"/>
      <c r="R203" s="5"/>
      <c r="S203" s="5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O204" s="5"/>
      <c r="P204" s="5"/>
      <c r="Q204" s="5"/>
      <c r="R204" s="5"/>
      <c r="S204" s="5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O205" s="5"/>
      <c r="P205" s="5"/>
      <c r="Q205" s="5"/>
      <c r="R205" s="5"/>
      <c r="S205" s="5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O206" s="5"/>
      <c r="P206" s="5"/>
      <c r="Q206" s="5"/>
      <c r="R206" s="5"/>
      <c r="S206" s="5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O207" s="5"/>
      <c r="P207" s="5"/>
      <c r="Q207" s="5"/>
      <c r="R207" s="5"/>
      <c r="S207" s="5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O208" s="5"/>
      <c r="P208" s="5"/>
      <c r="Q208" s="5"/>
      <c r="R208" s="5"/>
      <c r="S208" s="5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O209" s="5"/>
      <c r="P209" s="5"/>
      <c r="Q209" s="5"/>
      <c r="R209" s="5"/>
      <c r="S209" s="5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O210" s="5"/>
      <c r="P210" s="5"/>
      <c r="Q210" s="5"/>
      <c r="R210" s="5"/>
      <c r="S210" s="5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O211" s="5"/>
      <c r="P211" s="5"/>
      <c r="Q211" s="5"/>
      <c r="R211" s="5"/>
      <c r="S211" s="5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O212" s="5"/>
      <c r="P212" s="5"/>
      <c r="Q212" s="5"/>
      <c r="R212" s="5"/>
      <c r="S212" s="5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O213" s="5"/>
      <c r="P213" s="5"/>
      <c r="Q213" s="5"/>
      <c r="R213" s="5"/>
      <c r="S213" s="5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O214" s="5"/>
      <c r="P214" s="5"/>
      <c r="Q214" s="5"/>
      <c r="R214" s="5"/>
      <c r="S214" s="5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O215" s="5"/>
      <c r="P215" s="5"/>
      <c r="Q215" s="5"/>
      <c r="R215" s="5"/>
      <c r="S215" s="5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O216" s="5"/>
      <c r="P216" s="5"/>
      <c r="Q216" s="5"/>
      <c r="R216" s="5"/>
      <c r="S216" s="5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O217" s="5"/>
      <c r="P217" s="5"/>
      <c r="Q217" s="5"/>
      <c r="R217" s="5"/>
      <c r="S217" s="5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O218" s="5"/>
      <c r="P218" s="5"/>
      <c r="Q218" s="5"/>
      <c r="R218" s="5"/>
      <c r="S218" s="5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O219" s="5"/>
      <c r="P219" s="5"/>
      <c r="Q219" s="5"/>
      <c r="R219" s="5"/>
      <c r="S219" s="5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O220" s="5"/>
      <c r="P220" s="5"/>
      <c r="Q220" s="5"/>
      <c r="R220" s="5"/>
      <c r="S220" s="5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O221" s="5"/>
      <c r="P221" s="5"/>
      <c r="Q221" s="5"/>
      <c r="R221" s="5"/>
      <c r="S221" s="5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O222" s="5"/>
      <c r="P222" s="5"/>
      <c r="Q222" s="5"/>
      <c r="R222" s="5"/>
      <c r="S222" s="5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O223" s="5"/>
      <c r="P223" s="5"/>
      <c r="Q223" s="5"/>
      <c r="R223" s="5"/>
      <c r="S223" s="5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O224" s="5"/>
      <c r="P224" s="5"/>
      <c r="Q224" s="5"/>
      <c r="R224" s="5"/>
      <c r="S224" s="5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O225" s="5"/>
      <c r="P225" s="5"/>
      <c r="Q225" s="5"/>
      <c r="R225" s="5"/>
      <c r="S225" s="5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O226" s="5"/>
      <c r="P226" s="5"/>
      <c r="Q226" s="5"/>
      <c r="R226" s="5"/>
      <c r="S226" s="5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O227" s="5"/>
      <c r="P227" s="5"/>
      <c r="Q227" s="5"/>
      <c r="R227" s="5"/>
      <c r="S227" s="5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O228" s="5"/>
      <c r="P228" s="5"/>
      <c r="Q228" s="5"/>
      <c r="R228" s="5"/>
      <c r="S228" s="5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O229" s="5"/>
      <c r="P229" s="5"/>
      <c r="Q229" s="5"/>
      <c r="R229" s="5"/>
      <c r="S229" s="5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O230" s="5"/>
      <c r="P230" s="5"/>
      <c r="Q230" s="5"/>
      <c r="R230" s="5"/>
      <c r="S230" s="5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O231" s="5"/>
      <c r="P231" s="5"/>
      <c r="Q231" s="5"/>
      <c r="R231" s="5"/>
      <c r="S231" s="5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O232" s="5"/>
      <c r="P232" s="5"/>
      <c r="Q232" s="5"/>
      <c r="R232" s="5"/>
      <c r="S232" s="5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O233" s="5"/>
      <c r="P233" s="5"/>
      <c r="Q233" s="5"/>
      <c r="R233" s="5"/>
      <c r="S233" s="5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O234" s="5"/>
      <c r="P234" s="5"/>
      <c r="Q234" s="5"/>
      <c r="R234" s="5"/>
      <c r="S234" s="5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O235" s="5"/>
      <c r="P235" s="5"/>
      <c r="Q235" s="5"/>
      <c r="R235" s="5"/>
      <c r="S235" s="5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O236" s="5"/>
      <c r="P236" s="5"/>
      <c r="Q236" s="5"/>
      <c r="R236" s="5"/>
      <c r="S236" s="5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O237" s="5"/>
      <c r="P237" s="5"/>
      <c r="Q237" s="5"/>
      <c r="R237" s="5"/>
      <c r="S237" s="5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O238" s="5"/>
      <c r="P238" s="5"/>
      <c r="Q238" s="5"/>
      <c r="R238" s="5"/>
      <c r="S238" s="5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O239" s="5"/>
      <c r="P239" s="5"/>
      <c r="Q239" s="5"/>
      <c r="R239" s="5"/>
      <c r="S239" s="5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O240" s="5"/>
      <c r="P240" s="5"/>
      <c r="Q240" s="5"/>
      <c r="R240" s="5"/>
      <c r="S240" s="5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O241" s="5"/>
      <c r="P241" s="5"/>
      <c r="Q241" s="5"/>
      <c r="R241" s="5"/>
      <c r="S241" s="5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O242" s="5"/>
      <c r="P242" s="5"/>
      <c r="Q242" s="5"/>
      <c r="R242" s="5"/>
      <c r="S242" s="5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O243" s="5"/>
      <c r="P243" s="5"/>
      <c r="Q243" s="5"/>
      <c r="R243" s="5"/>
      <c r="S243" s="5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O244" s="5"/>
      <c r="P244" s="5"/>
      <c r="Q244" s="5"/>
      <c r="R244" s="5"/>
      <c r="S244" s="5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O245" s="5"/>
      <c r="P245" s="5"/>
      <c r="Q245" s="5"/>
      <c r="R245" s="5"/>
      <c r="S245" s="5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O246" s="5"/>
      <c r="P246" s="5"/>
      <c r="Q246" s="5"/>
      <c r="R246" s="5"/>
      <c r="S246" s="5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O247" s="5"/>
      <c r="P247" s="5"/>
      <c r="Q247" s="5"/>
      <c r="R247" s="5"/>
      <c r="S247" s="5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O248" s="5"/>
      <c r="P248" s="5"/>
      <c r="Q248" s="5"/>
      <c r="R248" s="5"/>
      <c r="S248" s="5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O249" s="5"/>
      <c r="P249" s="5"/>
      <c r="Q249" s="5"/>
      <c r="R249" s="5"/>
      <c r="S249" s="5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O250" s="5"/>
      <c r="P250" s="5"/>
      <c r="Q250" s="5"/>
      <c r="R250" s="5"/>
      <c r="S250" s="5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O251" s="5"/>
      <c r="P251" s="5"/>
      <c r="Q251" s="5"/>
      <c r="R251" s="5"/>
      <c r="S251" s="5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O252" s="5"/>
      <c r="P252" s="5"/>
      <c r="Q252" s="5"/>
      <c r="R252" s="5"/>
      <c r="S252" s="5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O253" s="5"/>
      <c r="P253" s="5"/>
      <c r="Q253" s="5"/>
      <c r="R253" s="5"/>
      <c r="S253" s="5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O254" s="5"/>
      <c r="P254" s="5"/>
      <c r="Q254" s="5"/>
      <c r="R254" s="5"/>
      <c r="S254" s="5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O255" s="5"/>
      <c r="P255" s="5"/>
      <c r="Q255" s="5"/>
      <c r="R255" s="5"/>
      <c r="S255" s="5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O256" s="5"/>
      <c r="P256" s="5"/>
      <c r="Q256" s="5"/>
      <c r="R256" s="5"/>
      <c r="S256" s="5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O257" s="5"/>
      <c r="P257" s="5"/>
      <c r="Q257" s="5"/>
      <c r="R257" s="5"/>
      <c r="S257" s="5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O258" s="5"/>
      <c r="P258" s="5"/>
      <c r="Q258" s="5"/>
      <c r="R258" s="5"/>
      <c r="S258" s="5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O259" s="5"/>
      <c r="P259" s="5"/>
      <c r="Q259" s="5"/>
      <c r="R259" s="5"/>
      <c r="S259" s="5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O260" s="5"/>
      <c r="P260" s="5"/>
      <c r="Q260" s="5"/>
      <c r="R260" s="5"/>
      <c r="S260" s="5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O261" s="5"/>
      <c r="P261" s="5"/>
      <c r="Q261" s="5"/>
      <c r="R261" s="5"/>
      <c r="S261" s="5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O262" s="5"/>
      <c r="P262" s="5"/>
      <c r="Q262" s="5"/>
      <c r="R262" s="5"/>
      <c r="S262" s="5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O263" s="5"/>
      <c r="P263" s="5"/>
      <c r="Q263" s="5"/>
      <c r="R263" s="5"/>
      <c r="S263" s="5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O264" s="5"/>
      <c r="P264" s="5"/>
      <c r="Q264" s="5"/>
      <c r="R264" s="5"/>
      <c r="S264" s="5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O265" s="5"/>
      <c r="P265" s="5"/>
      <c r="Q265" s="5"/>
      <c r="R265" s="5"/>
      <c r="S265" s="5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O266" s="5"/>
      <c r="P266" s="5"/>
      <c r="Q266" s="5"/>
      <c r="R266" s="5"/>
      <c r="S266" s="5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O267" s="5"/>
      <c r="P267" s="5"/>
      <c r="Q267" s="5"/>
      <c r="R267" s="5"/>
      <c r="S267" s="5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O268" s="5"/>
      <c r="P268" s="5"/>
      <c r="Q268" s="5"/>
      <c r="R268" s="5"/>
      <c r="S268" s="5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O269" s="5"/>
      <c r="P269" s="5"/>
      <c r="Q269" s="5"/>
      <c r="R269" s="5"/>
      <c r="S269" s="5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O270" s="5"/>
      <c r="P270" s="5"/>
      <c r="Q270" s="5"/>
      <c r="R270" s="5"/>
      <c r="S270" s="5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O271" s="5"/>
      <c r="P271" s="5"/>
      <c r="Q271" s="5"/>
      <c r="R271" s="5"/>
      <c r="S271" s="5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O272" s="5"/>
      <c r="P272" s="5"/>
      <c r="Q272" s="5"/>
      <c r="R272" s="5"/>
      <c r="S272" s="5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O273" s="5"/>
      <c r="P273" s="5"/>
      <c r="Q273" s="5"/>
      <c r="R273" s="5"/>
      <c r="S273" s="5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O274" s="5"/>
      <c r="P274" s="5"/>
      <c r="Q274" s="5"/>
      <c r="R274" s="5"/>
      <c r="S274" s="5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O275" s="5"/>
      <c r="P275" s="5"/>
      <c r="Q275" s="5"/>
      <c r="R275" s="5"/>
      <c r="S275" s="5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O276" s="5"/>
      <c r="P276" s="5"/>
      <c r="Q276" s="5"/>
      <c r="R276" s="5"/>
      <c r="S276" s="5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O277" s="5"/>
      <c r="P277" s="5"/>
      <c r="Q277" s="5"/>
      <c r="R277" s="5"/>
      <c r="S277" s="5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O278" s="5"/>
      <c r="P278" s="5"/>
      <c r="Q278" s="5"/>
      <c r="R278" s="5"/>
      <c r="S278" s="5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O279" s="5"/>
      <c r="P279" s="5"/>
      <c r="Q279" s="5"/>
      <c r="R279" s="5"/>
      <c r="S279" s="5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O280" s="5"/>
      <c r="P280" s="5"/>
      <c r="Q280" s="5"/>
      <c r="R280" s="5"/>
      <c r="S280" s="5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O281" s="5"/>
      <c r="P281" s="5"/>
      <c r="Q281" s="5"/>
      <c r="R281" s="5"/>
      <c r="S281" s="5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O282" s="5"/>
      <c r="P282" s="5"/>
      <c r="Q282" s="5"/>
      <c r="R282" s="5"/>
      <c r="S282" s="5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O283" s="5"/>
      <c r="P283" s="5"/>
      <c r="Q283" s="5"/>
      <c r="R283" s="5"/>
      <c r="S283" s="5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O284" s="5"/>
      <c r="P284" s="5"/>
      <c r="Q284" s="5"/>
      <c r="R284" s="5"/>
      <c r="S284" s="5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O285" s="5"/>
      <c r="P285" s="5"/>
      <c r="Q285" s="5"/>
      <c r="R285" s="5"/>
      <c r="S285" s="5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O286" s="5"/>
      <c r="P286" s="5"/>
      <c r="Q286" s="5"/>
      <c r="R286" s="5"/>
      <c r="S286" s="5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O287" s="5"/>
      <c r="P287" s="5"/>
      <c r="Q287" s="5"/>
      <c r="R287" s="5"/>
      <c r="S287" s="5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O288" s="5"/>
      <c r="P288" s="5"/>
      <c r="Q288" s="5"/>
      <c r="R288" s="5"/>
      <c r="S288" s="5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O289" s="5"/>
      <c r="P289" s="5"/>
      <c r="Q289" s="5"/>
      <c r="R289" s="5"/>
      <c r="S289" s="5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O290" s="5"/>
      <c r="P290" s="5"/>
      <c r="Q290" s="5"/>
      <c r="R290" s="5"/>
      <c r="S290" s="5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O291" s="5"/>
      <c r="P291" s="5"/>
      <c r="Q291" s="5"/>
      <c r="R291" s="5"/>
      <c r="S291" s="5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O292" s="5"/>
      <c r="P292" s="5"/>
      <c r="Q292" s="5"/>
      <c r="R292" s="5"/>
      <c r="S292" s="5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O293" s="5"/>
      <c r="P293" s="5"/>
      <c r="Q293" s="5"/>
      <c r="R293" s="5"/>
      <c r="S293" s="5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O294" s="5"/>
      <c r="P294" s="5"/>
      <c r="Q294" s="5"/>
      <c r="R294" s="5"/>
      <c r="S294" s="5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O295" s="5"/>
      <c r="P295" s="5"/>
      <c r="Q295" s="5"/>
      <c r="R295" s="5"/>
      <c r="S295" s="5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O296" s="5"/>
      <c r="P296" s="5"/>
      <c r="Q296" s="5"/>
      <c r="R296" s="5"/>
      <c r="S296" s="5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O297" s="5"/>
      <c r="P297" s="5"/>
      <c r="Q297" s="5"/>
      <c r="R297" s="5"/>
      <c r="S297" s="5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O298" s="5"/>
      <c r="P298" s="5"/>
      <c r="Q298" s="5"/>
      <c r="R298" s="5"/>
      <c r="S298" s="5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O299" s="5"/>
      <c r="P299" s="5"/>
      <c r="Q299" s="5"/>
      <c r="R299" s="5"/>
      <c r="S299" s="5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O300" s="5"/>
      <c r="P300" s="5"/>
      <c r="Q300" s="5"/>
      <c r="R300" s="5"/>
      <c r="S300" s="5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O301" s="5"/>
      <c r="P301" s="5"/>
      <c r="Q301" s="5"/>
      <c r="R301" s="5"/>
      <c r="S301" s="5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O302" s="5"/>
      <c r="P302" s="5"/>
      <c r="Q302" s="5"/>
      <c r="R302" s="5"/>
      <c r="S302" s="5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O303" s="5"/>
      <c r="P303" s="5"/>
      <c r="Q303" s="5"/>
      <c r="R303" s="5"/>
      <c r="S303" s="5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O304" s="5"/>
      <c r="P304" s="5"/>
      <c r="Q304" s="5"/>
      <c r="R304" s="5"/>
      <c r="S304" s="5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O305" s="5"/>
      <c r="P305" s="5"/>
      <c r="Q305" s="5"/>
      <c r="R305" s="5"/>
      <c r="S305" s="5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O306" s="5"/>
      <c r="P306" s="5"/>
      <c r="Q306" s="5"/>
      <c r="R306" s="5"/>
      <c r="S306" s="5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O307" s="5"/>
      <c r="P307" s="5"/>
      <c r="Q307" s="5"/>
      <c r="R307" s="5"/>
      <c r="S307" s="5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O308" s="5"/>
      <c r="P308" s="5"/>
      <c r="Q308" s="5"/>
      <c r="R308" s="5"/>
      <c r="S308" s="5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O309" s="5"/>
      <c r="P309" s="5"/>
      <c r="Q309" s="5"/>
      <c r="R309" s="5"/>
      <c r="S309" s="5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O310" s="5"/>
      <c r="P310" s="5"/>
      <c r="Q310" s="5"/>
      <c r="R310" s="5"/>
      <c r="S310" s="5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O311" s="5"/>
      <c r="P311" s="5"/>
      <c r="Q311" s="5"/>
      <c r="R311" s="5"/>
      <c r="S311" s="5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O312" s="5"/>
      <c r="P312" s="5"/>
      <c r="Q312" s="5"/>
      <c r="R312" s="5"/>
      <c r="S312" s="5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O313" s="5"/>
      <c r="P313" s="5"/>
      <c r="Q313" s="5"/>
      <c r="R313" s="5"/>
      <c r="S313" s="5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O314" s="5"/>
      <c r="P314" s="5"/>
      <c r="Q314" s="5"/>
      <c r="R314" s="5"/>
      <c r="S314" s="5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O315" s="5"/>
      <c r="P315" s="5"/>
      <c r="Q315" s="5"/>
      <c r="R315" s="5"/>
      <c r="S315" s="5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O316" s="5"/>
      <c r="P316" s="5"/>
      <c r="Q316" s="5"/>
      <c r="R316" s="5"/>
      <c r="S316" s="5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O317" s="5"/>
      <c r="P317" s="5"/>
      <c r="Q317" s="5"/>
      <c r="R317" s="5"/>
      <c r="S317" s="5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O318" s="5"/>
      <c r="P318" s="5"/>
      <c r="Q318" s="5"/>
      <c r="R318" s="5"/>
      <c r="S318" s="5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O319" s="5"/>
      <c r="P319" s="5"/>
      <c r="Q319" s="5"/>
      <c r="R319" s="5"/>
      <c r="S319" s="5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O320" s="5"/>
      <c r="P320" s="5"/>
      <c r="Q320" s="5"/>
      <c r="R320" s="5"/>
      <c r="S320" s="5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O321" s="5"/>
      <c r="P321" s="5"/>
      <c r="Q321" s="5"/>
      <c r="R321" s="5"/>
      <c r="S321" s="5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O322" s="5"/>
      <c r="P322" s="5"/>
      <c r="Q322" s="5"/>
      <c r="R322" s="5"/>
      <c r="S322" s="5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O323" s="5"/>
      <c r="P323" s="5"/>
      <c r="Q323" s="5"/>
      <c r="R323" s="5"/>
      <c r="S323" s="5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O324" s="5"/>
      <c r="P324" s="5"/>
      <c r="Q324" s="5"/>
      <c r="R324" s="5"/>
      <c r="S324" s="5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O325" s="5"/>
      <c r="P325" s="5"/>
      <c r="Q325" s="5"/>
      <c r="R325" s="5"/>
      <c r="S325" s="5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O326" s="5"/>
      <c r="P326" s="5"/>
      <c r="Q326" s="5"/>
      <c r="R326" s="5"/>
      <c r="S326" s="5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O327" s="5"/>
      <c r="P327" s="5"/>
      <c r="Q327" s="5"/>
      <c r="R327" s="5"/>
      <c r="S327" s="5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O328" s="5"/>
      <c r="P328" s="5"/>
      <c r="Q328" s="5"/>
      <c r="R328" s="5"/>
      <c r="S328" s="5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O329" s="5"/>
      <c r="P329" s="5"/>
      <c r="Q329" s="5"/>
      <c r="R329" s="5"/>
      <c r="S329" s="5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O330" s="5"/>
      <c r="P330" s="5"/>
      <c r="Q330" s="5"/>
      <c r="R330" s="5"/>
      <c r="S330" s="5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O331" s="5"/>
      <c r="P331" s="5"/>
      <c r="Q331" s="5"/>
      <c r="R331" s="5"/>
      <c r="S331" s="5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O332" s="5"/>
      <c r="P332" s="5"/>
      <c r="Q332" s="5"/>
      <c r="R332" s="5"/>
      <c r="S332" s="5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O333" s="5"/>
      <c r="P333" s="5"/>
      <c r="Q333" s="5"/>
      <c r="R333" s="5"/>
      <c r="S333" s="5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O334" s="5"/>
      <c r="P334" s="5"/>
      <c r="Q334" s="5"/>
      <c r="R334" s="5"/>
      <c r="S334" s="5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O335" s="5"/>
      <c r="P335" s="5"/>
      <c r="Q335" s="5"/>
      <c r="R335" s="5"/>
      <c r="S335" s="5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O336" s="5"/>
      <c r="P336" s="5"/>
      <c r="Q336" s="5"/>
      <c r="R336" s="5"/>
      <c r="S336" s="5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O337" s="5"/>
      <c r="P337" s="5"/>
      <c r="Q337" s="5"/>
      <c r="R337" s="5"/>
      <c r="S337" s="5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O338" s="5"/>
      <c r="P338" s="5"/>
      <c r="Q338" s="5"/>
      <c r="R338" s="5"/>
      <c r="S338" s="5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O339" s="5"/>
      <c r="P339" s="5"/>
      <c r="Q339" s="5"/>
      <c r="R339" s="5"/>
      <c r="S339" s="5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O340" s="5"/>
      <c r="P340" s="5"/>
      <c r="Q340" s="5"/>
      <c r="R340" s="5"/>
      <c r="S340" s="5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O341" s="5"/>
      <c r="P341" s="5"/>
      <c r="Q341" s="5"/>
      <c r="R341" s="5"/>
      <c r="S341" s="5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O342" s="5"/>
      <c r="P342" s="5"/>
      <c r="Q342" s="5"/>
      <c r="R342" s="5"/>
      <c r="S342" s="5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O343" s="5"/>
      <c r="P343" s="5"/>
      <c r="Q343" s="5"/>
      <c r="R343" s="5"/>
      <c r="S343" s="5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O344" s="5"/>
      <c r="P344" s="5"/>
      <c r="Q344" s="5"/>
      <c r="R344" s="5"/>
      <c r="S344" s="5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O345" s="5"/>
      <c r="P345" s="5"/>
      <c r="Q345" s="5"/>
      <c r="R345" s="5"/>
      <c r="S345" s="5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O346" s="5"/>
      <c r="P346" s="5"/>
      <c r="Q346" s="5"/>
      <c r="R346" s="5"/>
      <c r="S346" s="5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O347" s="5"/>
      <c r="P347" s="5"/>
      <c r="Q347" s="5"/>
      <c r="R347" s="5"/>
      <c r="S347" s="5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O348" s="5"/>
      <c r="P348" s="5"/>
      <c r="Q348" s="5"/>
      <c r="R348" s="5"/>
      <c r="S348" s="5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O349" s="5"/>
      <c r="P349" s="5"/>
      <c r="Q349" s="5"/>
      <c r="R349" s="5"/>
      <c r="S349" s="5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O350" s="5"/>
      <c r="P350" s="5"/>
      <c r="Q350" s="5"/>
      <c r="R350" s="5"/>
      <c r="S350" s="5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O351" s="5"/>
      <c r="P351" s="5"/>
      <c r="Q351" s="5"/>
      <c r="R351" s="5"/>
      <c r="S351" s="5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O352" s="5"/>
      <c r="P352" s="5"/>
      <c r="Q352" s="5"/>
      <c r="R352" s="5"/>
      <c r="S352" s="5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O353" s="5"/>
      <c r="P353" s="5"/>
      <c r="Q353" s="5"/>
      <c r="R353" s="5"/>
      <c r="S353" s="5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O354" s="5"/>
      <c r="P354" s="5"/>
      <c r="Q354" s="5"/>
      <c r="R354" s="5"/>
      <c r="S354" s="5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O355" s="5"/>
      <c r="P355" s="5"/>
      <c r="Q355" s="5"/>
      <c r="R355" s="5"/>
      <c r="S355" s="5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O356" s="5"/>
      <c r="P356" s="5"/>
      <c r="Q356" s="5"/>
      <c r="R356" s="5"/>
      <c r="S356" s="5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O357" s="5"/>
      <c r="P357" s="5"/>
      <c r="Q357" s="5"/>
      <c r="R357" s="5"/>
      <c r="S357" s="5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O358" s="5"/>
      <c r="P358" s="5"/>
      <c r="Q358" s="5"/>
      <c r="R358" s="5"/>
      <c r="S358" s="5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O359" s="5"/>
      <c r="P359" s="5"/>
      <c r="Q359" s="5"/>
      <c r="R359" s="5"/>
      <c r="S359" s="5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O360" s="5"/>
      <c r="P360" s="5"/>
      <c r="Q360" s="5"/>
      <c r="R360" s="5"/>
      <c r="S360" s="5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O361" s="5"/>
      <c r="P361" s="5"/>
      <c r="Q361" s="5"/>
      <c r="R361" s="5"/>
      <c r="S361" s="5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O362" s="5"/>
      <c r="P362" s="5"/>
      <c r="Q362" s="5"/>
      <c r="R362" s="5"/>
      <c r="S362" s="5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O363" s="5"/>
      <c r="P363" s="5"/>
      <c r="Q363" s="5"/>
      <c r="R363" s="5"/>
      <c r="S363" s="5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O364" s="5"/>
      <c r="P364" s="5"/>
      <c r="Q364" s="5"/>
      <c r="R364" s="5"/>
      <c r="S364" s="5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O365" s="5"/>
      <c r="P365" s="5"/>
      <c r="Q365" s="5"/>
      <c r="R365" s="5"/>
      <c r="S365" s="5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O366" s="5"/>
      <c r="P366" s="5"/>
      <c r="Q366" s="5"/>
      <c r="R366" s="5"/>
      <c r="S366" s="5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O367" s="5"/>
      <c r="P367" s="5"/>
      <c r="Q367" s="5"/>
      <c r="R367" s="5"/>
      <c r="S367" s="5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O368" s="5"/>
      <c r="P368" s="5"/>
      <c r="Q368" s="5"/>
      <c r="R368" s="5"/>
      <c r="S368" s="5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O369" s="5"/>
      <c r="P369" s="5"/>
      <c r="Q369" s="5"/>
      <c r="R369" s="5"/>
      <c r="S369" s="5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O370" s="5"/>
      <c r="P370" s="5"/>
      <c r="Q370" s="5"/>
      <c r="R370" s="5"/>
      <c r="S370" s="5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O371" s="5"/>
      <c r="P371" s="5"/>
      <c r="Q371" s="5"/>
      <c r="R371" s="5"/>
      <c r="S371" s="5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O372" s="5"/>
      <c r="P372" s="5"/>
      <c r="Q372" s="5"/>
      <c r="R372" s="5"/>
      <c r="S372" s="5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O373" s="5"/>
      <c r="P373" s="5"/>
      <c r="Q373" s="5"/>
      <c r="R373" s="5"/>
      <c r="S373" s="5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O374" s="5"/>
      <c r="P374" s="5"/>
      <c r="Q374" s="5"/>
      <c r="R374" s="5"/>
      <c r="S374" s="5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O375" s="5"/>
      <c r="P375" s="5"/>
      <c r="Q375" s="5"/>
      <c r="R375" s="5"/>
      <c r="S375" s="5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O376" s="5"/>
      <c r="P376" s="5"/>
      <c r="Q376" s="5"/>
      <c r="R376" s="5"/>
      <c r="S376" s="5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O377" s="5"/>
      <c r="P377" s="5"/>
      <c r="Q377" s="5"/>
      <c r="R377" s="5"/>
      <c r="S377" s="5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O378" s="5"/>
      <c r="P378" s="5"/>
      <c r="Q378" s="5"/>
      <c r="R378" s="5"/>
      <c r="S378" s="5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O379" s="5"/>
      <c r="P379" s="5"/>
      <c r="Q379" s="5"/>
      <c r="R379" s="5"/>
      <c r="S379" s="5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O380" s="5"/>
      <c r="P380" s="5"/>
      <c r="Q380" s="5"/>
      <c r="R380" s="5"/>
      <c r="S380" s="5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O381" s="5"/>
      <c r="P381" s="5"/>
      <c r="Q381" s="5"/>
      <c r="R381" s="5"/>
      <c r="S381" s="5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O382" s="5"/>
      <c r="P382" s="5"/>
      <c r="Q382" s="5"/>
      <c r="R382" s="5"/>
      <c r="S382" s="5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O383" s="5"/>
      <c r="P383" s="5"/>
      <c r="Q383" s="5"/>
      <c r="R383" s="5"/>
      <c r="S383" s="5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O384" s="5"/>
      <c r="P384" s="5"/>
      <c r="Q384" s="5"/>
      <c r="R384" s="5"/>
      <c r="S384" s="5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O385" s="5"/>
      <c r="P385" s="5"/>
      <c r="Q385" s="5"/>
      <c r="R385" s="5"/>
      <c r="S385" s="5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O386" s="5"/>
      <c r="P386" s="5"/>
      <c r="Q386" s="5"/>
      <c r="R386" s="5"/>
      <c r="S386" s="5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O387" s="5"/>
      <c r="P387" s="5"/>
      <c r="Q387" s="5"/>
      <c r="R387" s="5"/>
      <c r="S387" s="5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O388" s="5"/>
      <c r="P388" s="5"/>
      <c r="Q388" s="5"/>
      <c r="R388" s="5"/>
      <c r="S388" s="5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O389" s="5"/>
      <c r="P389" s="5"/>
      <c r="Q389" s="5"/>
      <c r="R389" s="5"/>
      <c r="S389" s="5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O390" s="5"/>
      <c r="P390" s="5"/>
      <c r="Q390" s="5"/>
      <c r="R390" s="5"/>
      <c r="S390" s="5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O391" s="5"/>
      <c r="P391" s="5"/>
      <c r="Q391" s="5"/>
      <c r="R391" s="5"/>
      <c r="S391" s="5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O392" s="5"/>
      <c r="P392" s="5"/>
      <c r="Q392" s="5"/>
      <c r="R392" s="5"/>
      <c r="S392" s="5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O393" s="5"/>
      <c r="P393" s="5"/>
      <c r="Q393" s="5"/>
      <c r="R393" s="5"/>
      <c r="S393" s="5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O394" s="5"/>
      <c r="P394" s="5"/>
      <c r="Q394" s="5"/>
      <c r="R394" s="5"/>
      <c r="S394" s="5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O395" s="5"/>
      <c r="P395" s="5"/>
      <c r="Q395" s="5"/>
      <c r="R395" s="5"/>
      <c r="S395" s="5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O396" s="5"/>
      <c r="P396" s="5"/>
      <c r="Q396" s="5"/>
      <c r="R396" s="5"/>
      <c r="S396" s="5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O397" s="5"/>
      <c r="P397" s="5"/>
      <c r="Q397" s="5"/>
      <c r="R397" s="5"/>
      <c r="S397" s="5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O398" s="5"/>
      <c r="P398" s="5"/>
      <c r="Q398" s="5"/>
      <c r="R398" s="5"/>
      <c r="S398" s="5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O399" s="5"/>
      <c r="P399" s="5"/>
      <c r="Q399" s="5"/>
      <c r="R399" s="5"/>
      <c r="S399" s="5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O400" s="5"/>
      <c r="P400" s="5"/>
      <c r="Q400" s="5"/>
      <c r="R400" s="5"/>
      <c r="S400" s="5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O401" s="5"/>
      <c r="P401" s="5"/>
      <c r="Q401" s="5"/>
      <c r="R401" s="5"/>
      <c r="S401" s="5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O402" s="5"/>
      <c r="P402" s="5"/>
      <c r="Q402" s="5"/>
      <c r="R402" s="5"/>
      <c r="S402" s="5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O403" s="5"/>
      <c r="P403" s="5"/>
      <c r="Q403" s="5"/>
      <c r="R403" s="5"/>
      <c r="S403" s="5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O404" s="5"/>
      <c r="P404" s="5"/>
      <c r="Q404" s="5"/>
      <c r="R404" s="5"/>
      <c r="S404" s="5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O405" s="5"/>
      <c r="P405" s="5"/>
      <c r="Q405" s="5"/>
      <c r="R405" s="5"/>
      <c r="S405" s="5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O406" s="5"/>
      <c r="P406" s="5"/>
      <c r="Q406" s="5"/>
      <c r="R406" s="5"/>
      <c r="S406" s="5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O407" s="5"/>
      <c r="P407" s="5"/>
      <c r="Q407" s="5"/>
      <c r="R407" s="5"/>
      <c r="S407" s="5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O408" s="5"/>
      <c r="P408" s="5"/>
      <c r="Q408" s="5"/>
      <c r="R408" s="5"/>
      <c r="S408" s="5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O409" s="5"/>
      <c r="P409" s="5"/>
      <c r="Q409" s="5"/>
      <c r="R409" s="5"/>
      <c r="S409" s="5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O410" s="5"/>
      <c r="P410" s="5"/>
      <c r="Q410" s="5"/>
      <c r="R410" s="5"/>
      <c r="S410" s="5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O411" s="5"/>
      <c r="P411" s="5"/>
      <c r="Q411" s="5"/>
      <c r="R411" s="5"/>
      <c r="S411" s="5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O412" s="5"/>
      <c r="P412" s="5"/>
      <c r="Q412" s="5"/>
      <c r="R412" s="5"/>
      <c r="S412" s="5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O413" s="5"/>
      <c r="P413" s="5"/>
      <c r="Q413" s="5"/>
      <c r="R413" s="5"/>
      <c r="S413" s="5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O414" s="5"/>
      <c r="P414" s="5"/>
      <c r="Q414" s="5"/>
      <c r="R414" s="5"/>
      <c r="S414" s="5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O415" s="5"/>
      <c r="P415" s="5"/>
      <c r="Q415" s="5"/>
      <c r="R415" s="5"/>
      <c r="S415" s="5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O416" s="5"/>
      <c r="P416" s="5"/>
      <c r="Q416" s="5"/>
      <c r="R416" s="5"/>
      <c r="S416" s="5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O417" s="5"/>
      <c r="P417" s="5"/>
      <c r="Q417" s="5"/>
      <c r="R417" s="5"/>
      <c r="S417" s="5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O418" s="5"/>
      <c r="P418" s="5"/>
      <c r="Q418" s="5"/>
      <c r="R418" s="5"/>
      <c r="S418" s="5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O419" s="5"/>
      <c r="P419" s="5"/>
      <c r="Q419" s="5"/>
      <c r="R419" s="5"/>
      <c r="S419" s="5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O420" s="5"/>
      <c r="P420" s="5"/>
      <c r="Q420" s="5"/>
      <c r="R420" s="5"/>
      <c r="S420" s="5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O421" s="5"/>
      <c r="P421" s="5"/>
      <c r="Q421" s="5"/>
      <c r="R421" s="5"/>
      <c r="S421" s="5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O422" s="5"/>
      <c r="P422" s="5"/>
      <c r="Q422" s="5"/>
      <c r="R422" s="5"/>
      <c r="S422" s="5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O423" s="5"/>
      <c r="P423" s="5"/>
      <c r="Q423" s="5"/>
      <c r="R423" s="5"/>
      <c r="S423" s="5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O424" s="5"/>
      <c r="P424" s="5"/>
      <c r="Q424" s="5"/>
      <c r="R424" s="5"/>
      <c r="S424" s="5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O425" s="5"/>
      <c r="P425" s="5"/>
      <c r="Q425" s="5"/>
      <c r="R425" s="5"/>
      <c r="S425" s="5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O426" s="5"/>
      <c r="P426" s="5"/>
      <c r="Q426" s="5"/>
      <c r="R426" s="5"/>
      <c r="S426" s="5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O427" s="5"/>
      <c r="P427" s="5"/>
      <c r="Q427" s="5"/>
      <c r="R427" s="5"/>
      <c r="S427" s="5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O428" s="5"/>
      <c r="P428" s="5"/>
      <c r="Q428" s="5"/>
      <c r="R428" s="5"/>
      <c r="S428" s="5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O429" s="5"/>
      <c r="P429" s="5"/>
      <c r="Q429" s="5"/>
      <c r="R429" s="5"/>
      <c r="S429" s="5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O430" s="5"/>
      <c r="P430" s="5"/>
      <c r="Q430" s="5"/>
      <c r="R430" s="5"/>
      <c r="S430" s="5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O431" s="5"/>
      <c r="P431" s="5"/>
      <c r="Q431" s="5"/>
      <c r="R431" s="5"/>
      <c r="S431" s="5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O432" s="5"/>
      <c r="P432" s="5"/>
      <c r="Q432" s="5"/>
      <c r="R432" s="5"/>
      <c r="S432" s="5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O433" s="5"/>
      <c r="P433" s="5"/>
      <c r="Q433" s="5"/>
      <c r="R433" s="5"/>
      <c r="S433" s="5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O434" s="5"/>
      <c r="P434" s="5"/>
      <c r="Q434" s="5"/>
      <c r="R434" s="5"/>
      <c r="S434" s="5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O435" s="5"/>
      <c r="P435" s="5"/>
      <c r="Q435" s="5"/>
      <c r="R435" s="5"/>
      <c r="S435" s="5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O436" s="5"/>
      <c r="P436" s="5"/>
      <c r="Q436" s="5"/>
      <c r="R436" s="5"/>
      <c r="S436" s="5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O437" s="5"/>
      <c r="P437" s="5"/>
      <c r="Q437" s="5"/>
      <c r="R437" s="5"/>
      <c r="S437" s="5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O438" s="5"/>
      <c r="P438" s="5"/>
      <c r="Q438" s="5"/>
      <c r="R438" s="5"/>
      <c r="S438" s="5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O439" s="5"/>
      <c r="P439" s="5"/>
      <c r="Q439" s="5"/>
      <c r="R439" s="5"/>
      <c r="S439" s="5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O440" s="5"/>
      <c r="P440" s="5"/>
      <c r="Q440" s="5"/>
      <c r="R440" s="5"/>
      <c r="S440" s="5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O441" s="5"/>
      <c r="P441" s="5"/>
      <c r="Q441" s="5"/>
      <c r="R441" s="5"/>
      <c r="S441" s="5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O442" s="5"/>
      <c r="P442" s="5"/>
      <c r="Q442" s="5"/>
      <c r="R442" s="5"/>
      <c r="S442" s="5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O443" s="5"/>
      <c r="P443" s="5"/>
      <c r="Q443" s="5"/>
      <c r="R443" s="5"/>
      <c r="S443" s="5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O444" s="5"/>
      <c r="P444" s="5"/>
      <c r="Q444" s="5"/>
      <c r="R444" s="5"/>
      <c r="S444" s="5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O445" s="5"/>
      <c r="P445" s="5"/>
      <c r="Q445" s="5"/>
      <c r="R445" s="5"/>
      <c r="S445" s="5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O446" s="5"/>
      <c r="P446" s="5"/>
      <c r="Q446" s="5"/>
      <c r="R446" s="5"/>
      <c r="S446" s="5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O447" s="5"/>
      <c r="P447" s="5"/>
      <c r="Q447" s="5"/>
      <c r="R447" s="5"/>
      <c r="S447" s="5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O448" s="5"/>
      <c r="P448" s="5"/>
      <c r="Q448" s="5"/>
      <c r="R448" s="5"/>
      <c r="S448" s="5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O449" s="5"/>
      <c r="P449" s="5"/>
      <c r="Q449" s="5"/>
      <c r="R449" s="5"/>
      <c r="S449" s="5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O450" s="5"/>
      <c r="P450" s="5"/>
      <c r="Q450" s="5"/>
      <c r="R450" s="5"/>
      <c r="S450" s="5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O451" s="5"/>
      <c r="P451" s="5"/>
      <c r="Q451" s="5"/>
      <c r="R451" s="5"/>
      <c r="S451" s="5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O452" s="5"/>
      <c r="P452" s="5"/>
      <c r="Q452" s="5"/>
      <c r="R452" s="5"/>
      <c r="S452" s="5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O453" s="5"/>
      <c r="P453" s="5"/>
      <c r="Q453" s="5"/>
      <c r="R453" s="5"/>
      <c r="S453" s="5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O454" s="5"/>
      <c r="P454" s="5"/>
      <c r="Q454" s="5"/>
      <c r="R454" s="5"/>
      <c r="S454" s="5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O455" s="5"/>
      <c r="P455" s="5"/>
      <c r="Q455" s="5"/>
      <c r="R455" s="5"/>
      <c r="S455" s="5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O456" s="5"/>
      <c r="P456" s="5"/>
      <c r="Q456" s="5"/>
      <c r="R456" s="5"/>
      <c r="S456" s="5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O457" s="5"/>
      <c r="P457" s="5"/>
      <c r="Q457" s="5"/>
      <c r="R457" s="5"/>
      <c r="S457" s="5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O458" s="5"/>
      <c r="P458" s="5"/>
      <c r="Q458" s="5"/>
      <c r="R458" s="5"/>
      <c r="S458" s="5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O459" s="5"/>
      <c r="P459" s="5"/>
      <c r="Q459" s="5"/>
      <c r="R459" s="5"/>
      <c r="S459" s="5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O460" s="5"/>
      <c r="P460" s="5"/>
      <c r="Q460" s="5"/>
      <c r="R460" s="5"/>
      <c r="S460" s="5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O461" s="5"/>
      <c r="P461" s="5"/>
      <c r="Q461" s="5"/>
      <c r="R461" s="5"/>
      <c r="S461" s="5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O462" s="5"/>
      <c r="P462" s="5"/>
      <c r="Q462" s="5"/>
      <c r="R462" s="5"/>
      <c r="S462" s="5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O463" s="5"/>
      <c r="P463" s="5"/>
      <c r="Q463" s="5"/>
      <c r="R463" s="5"/>
      <c r="S463" s="5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O464" s="5"/>
      <c r="P464" s="5"/>
      <c r="Q464" s="5"/>
      <c r="R464" s="5"/>
      <c r="S464" s="5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O465" s="5"/>
      <c r="P465" s="5"/>
      <c r="Q465" s="5"/>
      <c r="R465" s="5"/>
      <c r="S465" s="5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O466" s="5"/>
      <c r="P466" s="5"/>
      <c r="Q466" s="5"/>
      <c r="R466" s="5"/>
      <c r="S466" s="5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O467" s="5"/>
      <c r="P467" s="5"/>
      <c r="Q467" s="5"/>
      <c r="R467" s="5"/>
      <c r="S467" s="5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O468" s="5"/>
      <c r="P468" s="5"/>
      <c r="Q468" s="5"/>
      <c r="R468" s="5"/>
      <c r="S468" s="5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O469" s="5"/>
      <c r="P469" s="5"/>
      <c r="Q469" s="5"/>
      <c r="R469" s="5"/>
      <c r="S469" s="5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O470" s="5"/>
      <c r="P470" s="5"/>
      <c r="Q470" s="5"/>
      <c r="R470" s="5"/>
      <c r="S470" s="5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O471" s="5"/>
      <c r="P471" s="5"/>
      <c r="Q471" s="5"/>
      <c r="R471" s="5"/>
      <c r="S471" s="5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O472" s="5"/>
      <c r="P472" s="5"/>
      <c r="Q472" s="5"/>
      <c r="R472" s="5"/>
      <c r="S472" s="5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O473" s="5"/>
      <c r="P473" s="5"/>
      <c r="Q473" s="5"/>
      <c r="R473" s="5"/>
      <c r="S473" s="5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O474" s="5"/>
      <c r="P474" s="5"/>
      <c r="Q474" s="5"/>
      <c r="R474" s="5"/>
      <c r="S474" s="5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O475" s="5"/>
      <c r="P475" s="5"/>
      <c r="Q475" s="5"/>
      <c r="R475" s="5"/>
      <c r="S475" s="5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O476" s="5"/>
      <c r="P476" s="5"/>
      <c r="Q476" s="5"/>
      <c r="R476" s="5"/>
      <c r="S476" s="5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O477" s="5"/>
      <c r="P477" s="5"/>
      <c r="Q477" s="5"/>
      <c r="R477" s="5"/>
      <c r="S477" s="5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O478" s="5"/>
      <c r="P478" s="5"/>
      <c r="Q478" s="5"/>
      <c r="R478" s="5"/>
      <c r="S478" s="5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O479" s="5"/>
      <c r="P479" s="5"/>
      <c r="Q479" s="5"/>
      <c r="R479" s="5"/>
      <c r="S479" s="5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O480" s="5"/>
      <c r="P480" s="5"/>
      <c r="Q480" s="5"/>
      <c r="R480" s="5"/>
      <c r="S480" s="5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O481" s="5"/>
      <c r="P481" s="5"/>
      <c r="Q481" s="5"/>
      <c r="R481" s="5"/>
      <c r="S481" s="5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O482" s="5"/>
      <c r="P482" s="5"/>
      <c r="Q482" s="5"/>
      <c r="R482" s="5"/>
      <c r="S482" s="5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O483" s="5"/>
      <c r="P483" s="5"/>
      <c r="Q483" s="5"/>
      <c r="R483" s="5"/>
      <c r="S483" s="5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O484" s="5"/>
      <c r="P484" s="5"/>
      <c r="Q484" s="5"/>
      <c r="R484" s="5"/>
      <c r="S484" s="5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O485" s="5"/>
      <c r="P485" s="5"/>
      <c r="Q485" s="5"/>
      <c r="R485" s="5"/>
      <c r="S485" s="5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O486" s="5"/>
      <c r="P486" s="5"/>
      <c r="Q486" s="5"/>
      <c r="R486" s="5"/>
      <c r="S486" s="5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O487" s="5"/>
      <c r="P487" s="5"/>
      <c r="Q487" s="5"/>
      <c r="R487" s="5"/>
      <c r="S487" s="5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O488" s="5"/>
      <c r="P488" s="5"/>
      <c r="Q488" s="5"/>
      <c r="R488" s="5"/>
      <c r="S488" s="5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O489" s="5"/>
      <c r="P489" s="5"/>
      <c r="Q489" s="5"/>
      <c r="R489" s="5"/>
      <c r="S489" s="5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O490" s="5"/>
      <c r="P490" s="5"/>
      <c r="Q490" s="5"/>
      <c r="R490" s="5"/>
      <c r="S490" s="5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O491" s="5"/>
      <c r="P491" s="5"/>
      <c r="Q491" s="5"/>
      <c r="R491" s="5"/>
      <c r="S491" s="5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O492" s="5"/>
      <c r="P492" s="5"/>
      <c r="Q492" s="5"/>
      <c r="R492" s="5"/>
      <c r="S492" s="5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O493" s="5"/>
      <c r="P493" s="5"/>
      <c r="Q493" s="5"/>
      <c r="R493" s="5"/>
      <c r="S493" s="5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O494" s="5"/>
      <c r="P494" s="5"/>
      <c r="Q494" s="5"/>
      <c r="R494" s="5"/>
      <c r="S494" s="5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5"/>
      <c r="P495" s="5"/>
      <c r="Q495" s="5"/>
      <c r="R495" s="5"/>
      <c r="S495" s="5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5"/>
      <c r="P496" s="5"/>
      <c r="Q496" s="5"/>
      <c r="R496" s="5"/>
      <c r="S496" s="5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5"/>
      <c r="P497" s="5"/>
      <c r="Q497" s="5"/>
      <c r="R497" s="5"/>
      <c r="S497" s="5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5"/>
      <c r="P498" s="5"/>
      <c r="Q498" s="5"/>
      <c r="R498" s="5"/>
      <c r="S498" s="5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5"/>
      <c r="P499" s="5"/>
      <c r="Q499" s="5"/>
      <c r="R499" s="5"/>
      <c r="S499" s="5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5"/>
      <c r="P500" s="5"/>
      <c r="Q500" s="5"/>
      <c r="R500" s="5"/>
      <c r="S500" s="5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5"/>
      <c r="P501" s="5"/>
      <c r="Q501" s="5"/>
      <c r="R501" s="5"/>
      <c r="S501" s="5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5"/>
      <c r="P502" s="5"/>
      <c r="Q502" s="5"/>
      <c r="R502" s="5"/>
      <c r="S502" s="5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5"/>
      <c r="P503" s="5"/>
      <c r="Q503" s="5"/>
      <c r="R503" s="5"/>
      <c r="S503" s="5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5"/>
      <c r="P504" s="5"/>
      <c r="Q504" s="5"/>
      <c r="R504" s="5"/>
      <c r="S504" s="5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5"/>
      <c r="P505" s="5"/>
      <c r="Q505" s="5"/>
      <c r="R505" s="5"/>
      <c r="S505" s="5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5"/>
      <c r="P506" s="5"/>
      <c r="Q506" s="5"/>
      <c r="R506" s="5"/>
      <c r="S506" s="5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5"/>
      <c r="P507" s="5"/>
      <c r="Q507" s="5"/>
      <c r="R507" s="5"/>
      <c r="S507" s="5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5"/>
      <c r="P508" s="5"/>
      <c r="Q508" s="5"/>
      <c r="R508" s="5"/>
      <c r="S508" s="5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5"/>
      <c r="P509" s="5"/>
      <c r="Q509" s="5"/>
      <c r="R509" s="5"/>
      <c r="S509" s="5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5"/>
      <c r="P510" s="5"/>
      <c r="Q510" s="5"/>
      <c r="R510" s="5"/>
      <c r="S510" s="5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5"/>
      <c r="P511" s="5"/>
      <c r="Q511" s="5"/>
      <c r="R511" s="5"/>
      <c r="S511" s="5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5"/>
      <c r="P512" s="5"/>
      <c r="Q512" s="5"/>
      <c r="R512" s="5"/>
      <c r="S512" s="5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5"/>
      <c r="P513" s="5"/>
      <c r="Q513" s="5"/>
      <c r="R513" s="5"/>
      <c r="S513" s="5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5"/>
      <c r="P514" s="5"/>
      <c r="Q514" s="5"/>
      <c r="R514" s="5"/>
      <c r="S514" s="5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5"/>
      <c r="P515" s="5"/>
      <c r="Q515" s="5"/>
      <c r="R515" s="5"/>
      <c r="S515" s="5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5"/>
      <c r="P516" s="5"/>
      <c r="Q516" s="5"/>
      <c r="R516" s="5"/>
      <c r="S516" s="5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5"/>
      <c r="P517" s="5"/>
      <c r="Q517" s="5"/>
      <c r="R517" s="5"/>
      <c r="S517" s="5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5"/>
      <c r="P518" s="5"/>
      <c r="Q518" s="5"/>
      <c r="R518" s="5"/>
      <c r="S518" s="5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5"/>
      <c r="P519" s="5"/>
      <c r="Q519" s="5"/>
      <c r="R519" s="5"/>
      <c r="S519" s="5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5"/>
      <c r="P520" s="5"/>
      <c r="Q520" s="5"/>
      <c r="R520" s="5"/>
      <c r="S520" s="5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5"/>
      <c r="P521" s="5"/>
      <c r="Q521" s="5"/>
      <c r="R521" s="5"/>
      <c r="S521" s="5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5"/>
      <c r="P522" s="5"/>
      <c r="Q522" s="5"/>
      <c r="R522" s="5"/>
      <c r="S522" s="5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5"/>
      <c r="P523" s="5"/>
      <c r="Q523" s="5"/>
      <c r="R523" s="5"/>
      <c r="S523" s="5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5"/>
      <c r="P524" s="5"/>
      <c r="Q524" s="5"/>
      <c r="R524" s="5"/>
      <c r="S524" s="5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5"/>
      <c r="P525" s="5"/>
      <c r="Q525" s="5"/>
      <c r="R525" s="5"/>
      <c r="S525" s="5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5"/>
      <c r="P526" s="5"/>
      <c r="Q526" s="5"/>
      <c r="R526" s="5"/>
      <c r="S526" s="5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5"/>
      <c r="P527" s="5"/>
      <c r="Q527" s="5"/>
      <c r="R527" s="5"/>
      <c r="S527" s="5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5"/>
      <c r="P528" s="5"/>
      <c r="Q528" s="5"/>
      <c r="R528" s="5"/>
      <c r="S528" s="5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5"/>
      <c r="P529" s="5"/>
      <c r="Q529" s="5"/>
      <c r="R529" s="5"/>
      <c r="S529" s="5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5"/>
      <c r="P530" s="5"/>
      <c r="Q530" s="5"/>
      <c r="R530" s="5"/>
      <c r="S530" s="5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5"/>
      <c r="P531" s="5"/>
      <c r="Q531" s="5"/>
      <c r="R531" s="5"/>
      <c r="S531" s="5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5"/>
      <c r="P532" s="5"/>
      <c r="Q532" s="5"/>
      <c r="R532" s="5"/>
      <c r="S532" s="5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5"/>
      <c r="P533" s="5"/>
      <c r="Q533" s="5"/>
      <c r="R533" s="5"/>
      <c r="S533" s="5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5"/>
      <c r="P534" s="5"/>
      <c r="Q534" s="5"/>
      <c r="R534" s="5"/>
      <c r="S534" s="5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5"/>
      <c r="P535" s="5"/>
      <c r="Q535" s="5"/>
      <c r="R535" s="5"/>
      <c r="S535" s="5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5"/>
      <c r="P536" s="5"/>
      <c r="Q536" s="5"/>
      <c r="R536" s="5"/>
      <c r="S536" s="5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5"/>
      <c r="P537" s="5"/>
      <c r="Q537" s="5"/>
      <c r="R537" s="5"/>
      <c r="S537" s="5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5"/>
      <c r="P538" s="5"/>
      <c r="Q538" s="5"/>
      <c r="R538" s="5"/>
      <c r="S538" s="5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5"/>
      <c r="P539" s="5"/>
      <c r="Q539" s="5"/>
      <c r="R539" s="5"/>
      <c r="S539" s="5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5"/>
      <c r="P540" s="5"/>
      <c r="Q540" s="5"/>
      <c r="R540" s="5"/>
      <c r="S540" s="5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5"/>
      <c r="P541" s="5"/>
      <c r="Q541" s="5"/>
      <c r="R541" s="5"/>
      <c r="S541" s="5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5"/>
      <c r="P542" s="5"/>
      <c r="Q542" s="5"/>
      <c r="R542" s="5"/>
      <c r="S542" s="5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5"/>
      <c r="P543" s="5"/>
      <c r="Q543" s="5"/>
      <c r="R543" s="5"/>
      <c r="S543" s="5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5"/>
      <c r="P544" s="5"/>
      <c r="Q544" s="5"/>
      <c r="R544" s="5"/>
      <c r="S544" s="5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5"/>
      <c r="P545" s="5"/>
      <c r="Q545" s="5"/>
      <c r="R545" s="5"/>
      <c r="S545" s="5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5"/>
      <c r="P546" s="5"/>
      <c r="Q546" s="5"/>
      <c r="R546" s="5"/>
      <c r="S546" s="5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5"/>
      <c r="P547" s="5"/>
      <c r="Q547" s="5"/>
      <c r="R547" s="5"/>
      <c r="S547" s="5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5"/>
      <c r="P548" s="5"/>
      <c r="Q548" s="5"/>
      <c r="R548" s="5"/>
      <c r="S548" s="5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5"/>
      <c r="P549" s="5"/>
      <c r="Q549" s="5"/>
      <c r="R549" s="5"/>
      <c r="S549" s="5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5"/>
      <c r="P550" s="5"/>
      <c r="Q550" s="5"/>
      <c r="R550" s="5"/>
      <c r="S550" s="5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5"/>
      <c r="P551" s="5"/>
      <c r="Q551" s="5"/>
      <c r="R551" s="5"/>
      <c r="S551" s="5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5"/>
      <c r="P552" s="5"/>
      <c r="Q552" s="5"/>
      <c r="R552" s="5"/>
      <c r="S552" s="5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5"/>
      <c r="P553" s="5"/>
      <c r="Q553" s="5"/>
      <c r="R553" s="5"/>
      <c r="S553" s="5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5"/>
      <c r="P554" s="5"/>
      <c r="Q554" s="5"/>
      <c r="R554" s="5"/>
      <c r="S554" s="5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5"/>
      <c r="P555" s="5"/>
      <c r="Q555" s="5"/>
      <c r="R555" s="5"/>
      <c r="S555" s="5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5"/>
      <c r="P556" s="5"/>
      <c r="Q556" s="5"/>
      <c r="R556" s="5"/>
      <c r="S556" s="5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5"/>
      <c r="P557" s="5"/>
      <c r="Q557" s="5"/>
      <c r="R557" s="5"/>
      <c r="S557" s="5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5"/>
      <c r="P558" s="5"/>
      <c r="Q558" s="5"/>
      <c r="R558" s="5"/>
      <c r="S558" s="5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5"/>
      <c r="P559" s="5"/>
      <c r="Q559" s="5"/>
      <c r="R559" s="5"/>
      <c r="S559" s="5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5"/>
      <c r="P560" s="5"/>
      <c r="Q560" s="5"/>
      <c r="R560" s="5"/>
      <c r="S560" s="5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5"/>
      <c r="P561" s="5"/>
      <c r="Q561" s="5"/>
      <c r="R561" s="5"/>
      <c r="S561" s="5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5"/>
      <c r="P562" s="5"/>
      <c r="Q562" s="5"/>
      <c r="R562" s="5"/>
      <c r="S562" s="5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5"/>
      <c r="P563" s="5"/>
      <c r="Q563" s="5"/>
      <c r="R563" s="5"/>
      <c r="S563" s="5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5"/>
      <c r="P564" s="5"/>
      <c r="Q564" s="5"/>
      <c r="R564" s="5"/>
      <c r="S564" s="5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5"/>
      <c r="P565" s="5"/>
      <c r="Q565" s="5"/>
      <c r="R565" s="5"/>
      <c r="S565" s="5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5"/>
      <c r="P566" s="5"/>
      <c r="Q566" s="5"/>
      <c r="R566" s="5"/>
      <c r="S566" s="5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O567" s="5"/>
      <c r="P567" s="5"/>
      <c r="Q567" s="5"/>
      <c r="R567" s="5"/>
      <c r="S567" s="5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O568" s="5"/>
      <c r="P568" s="5"/>
      <c r="Q568" s="5"/>
      <c r="R568" s="5"/>
      <c r="S568" s="5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O569" s="5"/>
      <c r="P569" s="5"/>
      <c r="Q569" s="5"/>
      <c r="R569" s="5"/>
      <c r="S569" s="5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O570" s="5"/>
      <c r="P570" s="5"/>
      <c r="Q570" s="5"/>
      <c r="R570" s="5"/>
      <c r="S570" s="5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O571" s="5"/>
      <c r="P571" s="5"/>
      <c r="Q571" s="5"/>
      <c r="R571" s="5"/>
      <c r="S571" s="5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O572" s="5"/>
      <c r="P572" s="5"/>
      <c r="Q572" s="5"/>
      <c r="R572" s="5"/>
      <c r="S572" s="5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O573" s="5"/>
      <c r="P573" s="5"/>
      <c r="Q573" s="5"/>
      <c r="R573" s="5"/>
      <c r="S573" s="5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O574" s="5"/>
      <c r="P574" s="5"/>
      <c r="Q574" s="5"/>
      <c r="R574" s="5"/>
      <c r="S574" s="5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O575" s="5"/>
      <c r="P575" s="5"/>
      <c r="Q575" s="5"/>
      <c r="R575" s="5"/>
      <c r="S575" s="5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O576" s="5"/>
      <c r="P576" s="5"/>
      <c r="Q576" s="5"/>
      <c r="R576" s="5"/>
      <c r="S576" s="5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O577" s="5"/>
      <c r="P577" s="5"/>
      <c r="Q577" s="5"/>
      <c r="R577" s="5"/>
      <c r="S577" s="5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O578" s="5"/>
      <c r="P578" s="5"/>
      <c r="Q578" s="5"/>
      <c r="R578" s="5"/>
      <c r="S578" s="5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O579" s="5"/>
      <c r="P579" s="5"/>
      <c r="Q579" s="5"/>
      <c r="R579" s="5"/>
      <c r="S579" s="5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O580" s="5"/>
      <c r="P580" s="5"/>
      <c r="Q580" s="5"/>
      <c r="R580" s="5"/>
      <c r="S580" s="5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O581" s="5"/>
      <c r="P581" s="5"/>
      <c r="Q581" s="5"/>
      <c r="R581" s="5"/>
      <c r="S581" s="5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O582" s="5"/>
      <c r="P582" s="5"/>
      <c r="Q582" s="5"/>
      <c r="R582" s="5"/>
      <c r="S582" s="5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O583" s="5"/>
      <c r="P583" s="5"/>
      <c r="Q583" s="5"/>
      <c r="R583" s="5"/>
      <c r="S583" s="5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O584" s="5"/>
      <c r="P584" s="5"/>
      <c r="Q584" s="5"/>
      <c r="R584" s="5"/>
      <c r="S584" s="5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O585" s="5"/>
      <c r="P585" s="5"/>
      <c r="Q585" s="5"/>
      <c r="R585" s="5"/>
      <c r="S585" s="5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O586" s="5"/>
      <c r="P586" s="5"/>
      <c r="Q586" s="5"/>
      <c r="R586" s="5"/>
      <c r="S586" s="5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O587" s="5"/>
      <c r="P587" s="5"/>
      <c r="Q587" s="5"/>
      <c r="R587" s="5"/>
      <c r="S587" s="5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O588" s="5"/>
      <c r="P588" s="5"/>
      <c r="Q588" s="5"/>
      <c r="R588" s="5"/>
      <c r="S588" s="5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O589" s="5"/>
      <c r="P589" s="5"/>
      <c r="Q589" s="5"/>
      <c r="R589" s="5"/>
      <c r="S589" s="5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O590" s="5"/>
      <c r="P590" s="5"/>
      <c r="Q590" s="5"/>
      <c r="R590" s="5"/>
      <c r="S590" s="5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O591" s="5"/>
      <c r="P591" s="5"/>
      <c r="Q591" s="5"/>
      <c r="R591" s="5"/>
      <c r="S591" s="5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O592" s="5"/>
      <c r="P592" s="5"/>
      <c r="Q592" s="5"/>
      <c r="R592" s="5"/>
      <c r="S592" s="5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O593" s="5"/>
      <c r="P593" s="5"/>
      <c r="Q593" s="5"/>
      <c r="R593" s="5"/>
      <c r="S593" s="5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O594" s="5"/>
      <c r="P594" s="5"/>
      <c r="Q594" s="5"/>
      <c r="R594" s="5"/>
      <c r="S594" s="5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O595" s="5"/>
      <c r="P595" s="5"/>
      <c r="Q595" s="5"/>
      <c r="R595" s="5"/>
      <c r="S595" s="5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O596" s="5"/>
      <c r="P596" s="5"/>
      <c r="Q596" s="5"/>
      <c r="R596" s="5"/>
      <c r="S596" s="5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O597" s="5"/>
      <c r="P597" s="5"/>
      <c r="Q597" s="5"/>
      <c r="R597" s="5"/>
      <c r="S597" s="5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O598" s="5"/>
      <c r="P598" s="5"/>
      <c r="Q598" s="5"/>
      <c r="R598" s="5"/>
      <c r="S598" s="5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O599" s="5"/>
      <c r="P599" s="5"/>
      <c r="Q599" s="5"/>
      <c r="R599" s="5"/>
      <c r="S599" s="5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O600" s="5"/>
      <c r="P600" s="5"/>
      <c r="Q600" s="5"/>
      <c r="R600" s="5"/>
      <c r="S600" s="5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O601" s="5"/>
      <c r="P601" s="5"/>
      <c r="Q601" s="5"/>
      <c r="R601" s="5"/>
      <c r="S601" s="5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O602" s="5"/>
      <c r="P602" s="5"/>
      <c r="Q602" s="5"/>
      <c r="R602" s="5"/>
      <c r="S602" s="5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O603" s="5"/>
      <c r="P603" s="5"/>
      <c r="Q603" s="5"/>
      <c r="R603" s="5"/>
      <c r="S603" s="5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O604" s="5"/>
      <c r="P604" s="5"/>
      <c r="Q604" s="5"/>
      <c r="R604" s="5"/>
      <c r="S604" s="5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O605" s="5"/>
      <c r="P605" s="5"/>
      <c r="Q605" s="5"/>
      <c r="R605" s="5"/>
      <c r="S605" s="5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O606" s="5"/>
      <c r="P606" s="5"/>
      <c r="Q606" s="5"/>
      <c r="R606" s="5"/>
      <c r="S606" s="5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O607" s="5"/>
      <c r="P607" s="5"/>
      <c r="Q607" s="5"/>
      <c r="R607" s="5"/>
      <c r="S607" s="5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O608" s="5"/>
      <c r="P608" s="5"/>
      <c r="Q608" s="5"/>
      <c r="R608" s="5"/>
      <c r="S608" s="5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O609" s="5"/>
      <c r="P609" s="5"/>
      <c r="Q609" s="5"/>
      <c r="R609" s="5"/>
      <c r="S609" s="5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O610" s="5"/>
      <c r="P610" s="5"/>
      <c r="Q610" s="5"/>
      <c r="R610" s="5"/>
      <c r="S610" s="5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O611" s="5"/>
      <c r="P611" s="5"/>
      <c r="Q611" s="5"/>
      <c r="R611" s="5"/>
      <c r="S611" s="5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O612" s="5"/>
      <c r="P612" s="5"/>
      <c r="Q612" s="5"/>
      <c r="R612" s="5"/>
      <c r="S612" s="5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O613" s="5"/>
      <c r="P613" s="5"/>
      <c r="Q613" s="5"/>
      <c r="R613" s="5"/>
      <c r="S613" s="5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O614" s="5"/>
      <c r="P614" s="5"/>
      <c r="Q614" s="5"/>
      <c r="R614" s="5"/>
      <c r="S614" s="5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O615" s="5"/>
      <c r="P615" s="5"/>
      <c r="Q615" s="5"/>
      <c r="R615" s="5"/>
      <c r="S615" s="5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O616" s="5"/>
      <c r="P616" s="5"/>
      <c r="Q616" s="5"/>
      <c r="R616" s="5"/>
      <c r="S616" s="5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O617" s="5"/>
      <c r="P617" s="5"/>
      <c r="Q617" s="5"/>
      <c r="R617" s="5"/>
      <c r="S617" s="5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O618" s="5"/>
      <c r="P618" s="5"/>
      <c r="Q618" s="5"/>
      <c r="R618" s="5"/>
      <c r="S618" s="5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O619" s="5"/>
      <c r="P619" s="5"/>
      <c r="Q619" s="5"/>
      <c r="R619" s="5"/>
      <c r="S619" s="5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O620" s="5"/>
      <c r="P620" s="5"/>
      <c r="Q620" s="5"/>
      <c r="R620" s="5"/>
      <c r="S620" s="5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O621" s="5"/>
      <c r="P621" s="5"/>
      <c r="Q621" s="5"/>
      <c r="R621" s="5"/>
      <c r="S621" s="5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O622" s="5"/>
      <c r="P622" s="5"/>
      <c r="Q622" s="5"/>
      <c r="R622" s="5"/>
      <c r="S622" s="5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O623" s="5"/>
      <c r="P623" s="5"/>
      <c r="Q623" s="5"/>
      <c r="R623" s="5"/>
      <c r="S623" s="5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O624" s="5"/>
      <c r="P624" s="5"/>
      <c r="Q624" s="5"/>
      <c r="R624" s="5"/>
      <c r="S624" s="5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O625" s="5"/>
      <c r="P625" s="5"/>
      <c r="Q625" s="5"/>
      <c r="R625" s="5"/>
      <c r="S625" s="5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O626" s="5"/>
      <c r="P626" s="5"/>
      <c r="Q626" s="5"/>
      <c r="R626" s="5"/>
      <c r="S626" s="5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O627" s="5"/>
      <c r="P627" s="5"/>
      <c r="Q627" s="5"/>
      <c r="R627" s="5"/>
      <c r="S627" s="5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O628" s="5"/>
      <c r="P628" s="5"/>
      <c r="Q628" s="5"/>
      <c r="R628" s="5"/>
      <c r="S628" s="5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O629" s="5"/>
      <c r="P629" s="5"/>
      <c r="Q629" s="5"/>
      <c r="R629" s="5"/>
      <c r="S629" s="5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O630" s="5"/>
      <c r="P630" s="5"/>
      <c r="Q630" s="5"/>
      <c r="R630" s="5"/>
      <c r="S630" s="5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O631" s="5"/>
      <c r="P631" s="5"/>
      <c r="Q631" s="5"/>
      <c r="R631" s="5"/>
      <c r="S631" s="5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O632" s="5"/>
      <c r="P632" s="5"/>
      <c r="Q632" s="5"/>
      <c r="R632" s="5"/>
      <c r="S632" s="5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O633" s="5"/>
      <c r="P633" s="5"/>
      <c r="Q633" s="5"/>
      <c r="R633" s="5"/>
      <c r="S633" s="5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O634" s="5"/>
      <c r="P634" s="5"/>
      <c r="Q634" s="5"/>
      <c r="R634" s="5"/>
      <c r="S634" s="5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O635" s="5"/>
      <c r="P635" s="5"/>
      <c r="Q635" s="5"/>
      <c r="R635" s="5"/>
      <c r="S635" s="5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O636" s="5"/>
      <c r="P636" s="5"/>
      <c r="Q636" s="5"/>
      <c r="R636" s="5"/>
      <c r="S636" s="5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O637" s="5"/>
      <c r="P637" s="5"/>
      <c r="Q637" s="5"/>
      <c r="R637" s="5"/>
      <c r="S637" s="5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O638" s="5"/>
      <c r="P638" s="5"/>
      <c r="Q638" s="5"/>
      <c r="R638" s="5"/>
      <c r="S638" s="5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O639" s="5"/>
      <c r="P639" s="5"/>
      <c r="Q639" s="5"/>
      <c r="R639" s="5"/>
      <c r="S639" s="5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O640" s="5"/>
      <c r="P640" s="5"/>
      <c r="Q640" s="5"/>
      <c r="R640" s="5"/>
      <c r="S640" s="5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O641" s="5"/>
      <c r="P641" s="5"/>
      <c r="Q641" s="5"/>
      <c r="R641" s="5"/>
      <c r="S641" s="5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O642" s="5"/>
      <c r="P642" s="5"/>
      <c r="Q642" s="5"/>
      <c r="R642" s="5"/>
      <c r="S642" s="5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O643" s="5"/>
      <c r="P643" s="5"/>
      <c r="Q643" s="5"/>
      <c r="R643" s="5"/>
      <c r="S643" s="5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O644" s="5"/>
      <c r="P644" s="5"/>
      <c r="Q644" s="5"/>
      <c r="R644" s="5"/>
      <c r="S644" s="5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O645" s="5"/>
      <c r="P645" s="5"/>
      <c r="Q645" s="5"/>
      <c r="R645" s="5"/>
      <c r="S645" s="5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O646" s="5"/>
      <c r="P646" s="5"/>
      <c r="Q646" s="5"/>
      <c r="R646" s="5"/>
      <c r="S646" s="5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O647" s="5"/>
      <c r="P647" s="5"/>
      <c r="Q647" s="5"/>
      <c r="R647" s="5"/>
      <c r="S647" s="5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O648" s="5"/>
      <c r="P648" s="5"/>
      <c r="Q648" s="5"/>
      <c r="R648" s="5"/>
      <c r="S648" s="5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O649" s="5"/>
      <c r="P649" s="5"/>
      <c r="Q649" s="5"/>
      <c r="R649" s="5"/>
      <c r="S649" s="5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O650" s="5"/>
      <c r="P650" s="5"/>
      <c r="Q650" s="5"/>
      <c r="R650" s="5"/>
      <c r="S650" s="5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O651" s="5"/>
      <c r="P651" s="5"/>
      <c r="Q651" s="5"/>
      <c r="R651" s="5"/>
      <c r="S651" s="5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O652" s="5"/>
      <c r="P652" s="5"/>
      <c r="Q652" s="5"/>
      <c r="R652" s="5"/>
      <c r="S652" s="5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O653" s="5"/>
      <c r="P653" s="5"/>
      <c r="Q653" s="5"/>
      <c r="R653" s="5"/>
      <c r="S653" s="5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O654" s="5"/>
      <c r="P654" s="5"/>
      <c r="Q654" s="5"/>
      <c r="R654" s="5"/>
      <c r="S654" s="5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O655" s="5"/>
      <c r="P655" s="5"/>
      <c r="Q655" s="5"/>
      <c r="R655" s="5"/>
      <c r="S655" s="5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O656" s="5"/>
      <c r="P656" s="5"/>
      <c r="Q656" s="5"/>
      <c r="R656" s="5"/>
      <c r="S656" s="5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O657" s="5"/>
      <c r="P657" s="5"/>
      <c r="Q657" s="5"/>
      <c r="R657" s="5"/>
      <c r="S657" s="5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O658" s="5"/>
      <c r="P658" s="5"/>
      <c r="Q658" s="5"/>
      <c r="R658" s="5"/>
      <c r="S658" s="5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O659" s="5"/>
      <c r="P659" s="5"/>
      <c r="Q659" s="5"/>
      <c r="R659" s="5"/>
      <c r="S659" s="5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O660" s="5"/>
      <c r="P660" s="5"/>
      <c r="Q660" s="5"/>
      <c r="R660" s="5"/>
      <c r="S660" s="5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O661" s="5"/>
      <c r="P661" s="5"/>
      <c r="Q661" s="5"/>
      <c r="R661" s="5"/>
      <c r="S661" s="5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O662" s="5"/>
      <c r="P662" s="5"/>
      <c r="Q662" s="5"/>
      <c r="R662" s="5"/>
      <c r="S662" s="5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O663" s="5"/>
      <c r="P663" s="5"/>
      <c r="Q663" s="5"/>
      <c r="R663" s="5"/>
      <c r="S663" s="5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O664" s="5"/>
      <c r="P664" s="5"/>
      <c r="Q664" s="5"/>
      <c r="R664" s="5"/>
      <c r="S664" s="5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O665" s="5"/>
      <c r="P665" s="5"/>
      <c r="Q665" s="5"/>
      <c r="R665" s="5"/>
      <c r="S665" s="5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O666" s="5"/>
      <c r="P666" s="5"/>
      <c r="Q666" s="5"/>
      <c r="R666" s="5"/>
      <c r="S666" s="5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O667" s="5"/>
      <c r="P667" s="5"/>
      <c r="Q667" s="5"/>
      <c r="R667" s="5"/>
      <c r="S667" s="5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O668" s="5"/>
      <c r="P668" s="5"/>
      <c r="Q668" s="5"/>
      <c r="R668" s="5"/>
      <c r="S668" s="5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O669" s="5"/>
      <c r="P669" s="5"/>
      <c r="Q669" s="5"/>
      <c r="R669" s="5"/>
      <c r="S669" s="5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O670" s="5"/>
      <c r="P670" s="5"/>
      <c r="Q670" s="5"/>
      <c r="R670" s="5"/>
      <c r="S670" s="5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O671" s="5"/>
      <c r="P671" s="5"/>
      <c r="Q671" s="5"/>
      <c r="R671" s="5"/>
      <c r="S671" s="5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O672" s="5"/>
      <c r="P672" s="5"/>
      <c r="Q672" s="5"/>
      <c r="R672" s="5"/>
      <c r="S672" s="5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O673" s="5"/>
      <c r="P673" s="5"/>
      <c r="Q673" s="5"/>
      <c r="R673" s="5"/>
      <c r="S673" s="5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O674" s="5"/>
      <c r="P674" s="5"/>
      <c r="Q674" s="5"/>
      <c r="R674" s="5"/>
      <c r="S674" s="5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O675" s="5"/>
      <c r="P675" s="5"/>
      <c r="Q675" s="5"/>
      <c r="R675" s="5"/>
      <c r="S675" s="5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O676" s="5"/>
      <c r="P676" s="5"/>
      <c r="Q676" s="5"/>
      <c r="R676" s="5"/>
      <c r="S676" s="5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O677" s="5"/>
      <c r="P677" s="5"/>
      <c r="Q677" s="5"/>
      <c r="R677" s="5"/>
      <c r="S677" s="5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O678" s="5"/>
      <c r="P678" s="5"/>
      <c r="Q678" s="5"/>
      <c r="R678" s="5"/>
      <c r="S678" s="5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O679" s="5"/>
      <c r="P679" s="5"/>
      <c r="Q679" s="5"/>
      <c r="R679" s="5"/>
      <c r="S679" s="5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O680" s="5"/>
      <c r="P680" s="5"/>
      <c r="Q680" s="5"/>
      <c r="R680" s="5"/>
      <c r="S680" s="5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O681" s="5"/>
      <c r="P681" s="5"/>
      <c r="Q681" s="5"/>
      <c r="R681" s="5"/>
      <c r="S681" s="5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O682" s="5"/>
      <c r="P682" s="5"/>
      <c r="Q682" s="5"/>
      <c r="R682" s="5"/>
      <c r="S682" s="5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O683" s="5"/>
      <c r="P683" s="5"/>
      <c r="Q683" s="5"/>
      <c r="R683" s="5"/>
      <c r="S683" s="5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O684" s="5"/>
      <c r="P684" s="5"/>
      <c r="Q684" s="5"/>
      <c r="R684" s="5"/>
      <c r="S684" s="5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O685" s="5"/>
      <c r="P685" s="5"/>
      <c r="Q685" s="5"/>
      <c r="R685" s="5"/>
      <c r="S685" s="5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O686" s="5"/>
      <c r="P686" s="5"/>
      <c r="Q686" s="5"/>
      <c r="R686" s="5"/>
      <c r="S686" s="5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O687" s="5"/>
      <c r="P687" s="5"/>
      <c r="Q687" s="5"/>
      <c r="R687" s="5"/>
      <c r="S687" s="5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O688" s="5"/>
      <c r="P688" s="5"/>
      <c r="Q688" s="5"/>
      <c r="R688" s="5"/>
      <c r="S688" s="5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O689" s="5"/>
      <c r="P689" s="5"/>
      <c r="Q689" s="5"/>
      <c r="R689" s="5"/>
      <c r="S689" s="5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O690" s="5"/>
      <c r="P690" s="5"/>
      <c r="Q690" s="5"/>
      <c r="R690" s="5"/>
      <c r="S690" s="5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O691" s="5"/>
      <c r="P691" s="5"/>
      <c r="Q691" s="5"/>
      <c r="R691" s="5"/>
      <c r="S691" s="5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O692" s="5"/>
      <c r="P692" s="5"/>
      <c r="Q692" s="5"/>
      <c r="R692" s="5"/>
      <c r="S692" s="5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O693" s="5"/>
      <c r="P693" s="5"/>
      <c r="Q693" s="5"/>
      <c r="R693" s="5"/>
      <c r="S693" s="5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O694" s="5"/>
      <c r="P694" s="5"/>
      <c r="Q694" s="5"/>
      <c r="R694" s="5"/>
      <c r="S694" s="5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O695" s="5"/>
      <c r="P695" s="5"/>
      <c r="Q695" s="5"/>
      <c r="R695" s="5"/>
      <c r="S695" s="5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O696" s="5"/>
      <c r="P696" s="5"/>
      <c r="Q696" s="5"/>
      <c r="R696" s="5"/>
      <c r="S696" s="5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O697" s="5"/>
      <c r="P697" s="5"/>
      <c r="Q697" s="5"/>
      <c r="R697" s="5"/>
      <c r="S697" s="5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O698" s="5"/>
      <c r="P698" s="5"/>
      <c r="Q698" s="5"/>
      <c r="R698" s="5"/>
      <c r="S698" s="5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O699" s="5"/>
      <c r="P699" s="5"/>
      <c r="Q699" s="5"/>
      <c r="R699" s="5"/>
      <c r="S699" s="5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O700" s="5"/>
      <c r="P700" s="5"/>
      <c r="Q700" s="5"/>
      <c r="R700" s="5"/>
      <c r="S700" s="5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O701" s="5"/>
      <c r="P701" s="5"/>
      <c r="Q701" s="5"/>
      <c r="R701" s="5"/>
      <c r="S701" s="5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O702" s="5"/>
      <c r="P702" s="5"/>
      <c r="Q702" s="5"/>
      <c r="R702" s="5"/>
      <c r="S702" s="5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O703" s="5"/>
      <c r="P703" s="5"/>
      <c r="Q703" s="5"/>
      <c r="R703" s="5"/>
      <c r="S703" s="5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O704" s="5"/>
      <c r="P704" s="5"/>
      <c r="Q704" s="5"/>
      <c r="R704" s="5"/>
      <c r="S704" s="5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O705" s="5"/>
      <c r="P705" s="5"/>
      <c r="Q705" s="5"/>
      <c r="R705" s="5"/>
      <c r="S705" s="5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O706" s="5"/>
      <c r="P706" s="5"/>
      <c r="Q706" s="5"/>
      <c r="R706" s="5"/>
      <c r="S706" s="5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O707" s="5"/>
      <c r="P707" s="5"/>
      <c r="Q707" s="5"/>
      <c r="R707" s="5"/>
      <c r="S707" s="5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O708" s="5"/>
      <c r="P708" s="5"/>
      <c r="Q708" s="5"/>
      <c r="R708" s="5"/>
      <c r="S708" s="5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O709" s="5"/>
      <c r="P709" s="5"/>
      <c r="Q709" s="5"/>
      <c r="R709" s="5"/>
      <c r="S709" s="5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O710" s="5"/>
      <c r="P710" s="5"/>
      <c r="Q710" s="5"/>
      <c r="R710" s="5"/>
      <c r="S710" s="5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O711" s="5"/>
      <c r="P711" s="5"/>
      <c r="Q711" s="5"/>
      <c r="R711" s="5"/>
      <c r="S711" s="5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O712" s="5"/>
      <c r="P712" s="5"/>
      <c r="Q712" s="5"/>
      <c r="R712" s="5"/>
      <c r="S712" s="5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O713" s="5"/>
      <c r="P713" s="5"/>
      <c r="Q713" s="5"/>
      <c r="R713" s="5"/>
      <c r="S713" s="5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O714" s="5"/>
      <c r="P714" s="5"/>
      <c r="Q714" s="5"/>
      <c r="R714" s="5"/>
      <c r="S714" s="5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O715" s="5"/>
      <c r="P715" s="5"/>
      <c r="Q715" s="5"/>
      <c r="R715" s="5"/>
      <c r="S715" s="5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O716" s="5"/>
      <c r="P716" s="5"/>
      <c r="Q716" s="5"/>
      <c r="R716" s="5"/>
      <c r="S716" s="5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O717" s="5"/>
      <c r="P717" s="5"/>
      <c r="Q717" s="5"/>
      <c r="R717" s="5"/>
      <c r="S717" s="5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O718" s="5"/>
      <c r="P718" s="5"/>
      <c r="Q718" s="5"/>
      <c r="R718" s="5"/>
      <c r="S718" s="5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O719" s="5"/>
      <c r="P719" s="5"/>
      <c r="Q719" s="5"/>
      <c r="R719" s="5"/>
      <c r="S719" s="5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O720" s="5"/>
      <c r="P720" s="5"/>
      <c r="Q720" s="5"/>
      <c r="R720" s="5"/>
      <c r="S720" s="5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O721" s="5"/>
      <c r="P721" s="5"/>
      <c r="Q721" s="5"/>
      <c r="R721" s="5"/>
      <c r="S721" s="5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O722" s="5"/>
      <c r="P722" s="5"/>
      <c r="Q722" s="5"/>
      <c r="R722" s="5"/>
      <c r="S722" s="5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O723" s="5"/>
      <c r="P723" s="5"/>
      <c r="Q723" s="5"/>
      <c r="R723" s="5"/>
      <c r="S723" s="5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O724" s="5"/>
      <c r="P724" s="5"/>
      <c r="Q724" s="5"/>
      <c r="R724" s="5"/>
      <c r="S724" s="5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O725" s="5"/>
      <c r="P725" s="5"/>
      <c r="Q725" s="5"/>
      <c r="R725" s="5"/>
      <c r="S725" s="5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O726" s="5"/>
      <c r="P726" s="5"/>
      <c r="Q726" s="5"/>
      <c r="R726" s="5"/>
      <c r="S726" s="5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O727" s="5"/>
      <c r="P727" s="5"/>
      <c r="Q727" s="5"/>
      <c r="R727" s="5"/>
      <c r="S727" s="5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O728" s="5"/>
      <c r="P728" s="5"/>
      <c r="Q728" s="5"/>
      <c r="R728" s="5"/>
      <c r="S728" s="5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O729" s="5"/>
      <c r="P729" s="5"/>
      <c r="Q729" s="5"/>
      <c r="R729" s="5"/>
      <c r="S729" s="5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O730" s="5"/>
      <c r="P730" s="5"/>
      <c r="Q730" s="5"/>
      <c r="R730" s="5"/>
      <c r="S730" s="5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O731" s="5"/>
      <c r="P731" s="5"/>
      <c r="Q731" s="5"/>
      <c r="R731" s="5"/>
      <c r="S731" s="5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O732" s="5"/>
      <c r="P732" s="5"/>
      <c r="Q732" s="5"/>
      <c r="R732" s="5"/>
      <c r="S732" s="5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O733" s="5"/>
      <c r="P733" s="5"/>
      <c r="Q733" s="5"/>
      <c r="R733" s="5"/>
      <c r="S733" s="5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O734" s="5"/>
      <c r="P734" s="5"/>
      <c r="Q734" s="5"/>
      <c r="R734" s="5"/>
      <c r="S734" s="5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O735" s="5"/>
      <c r="P735" s="5"/>
      <c r="Q735" s="5"/>
      <c r="R735" s="5"/>
      <c r="S735" s="5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O736" s="5"/>
      <c r="P736" s="5"/>
      <c r="Q736" s="5"/>
      <c r="R736" s="5"/>
      <c r="S736" s="5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O737" s="5"/>
      <c r="P737" s="5"/>
      <c r="Q737" s="5"/>
      <c r="R737" s="5"/>
      <c r="S737" s="5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O738" s="5"/>
      <c r="P738" s="5"/>
      <c r="Q738" s="5"/>
      <c r="R738" s="5"/>
      <c r="S738" s="5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O739" s="5"/>
      <c r="P739" s="5"/>
      <c r="Q739" s="5"/>
      <c r="R739" s="5"/>
      <c r="S739" s="5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O740" s="5"/>
      <c r="P740" s="5"/>
      <c r="Q740" s="5"/>
      <c r="R740" s="5"/>
      <c r="S740" s="5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O741" s="5"/>
      <c r="P741" s="5"/>
      <c r="Q741" s="5"/>
      <c r="R741" s="5"/>
      <c r="S741" s="5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O742" s="5"/>
      <c r="P742" s="5"/>
      <c r="Q742" s="5"/>
      <c r="R742" s="5"/>
      <c r="S742" s="5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O743" s="5"/>
      <c r="P743" s="5"/>
      <c r="Q743" s="5"/>
      <c r="R743" s="5"/>
      <c r="S743" s="5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O744" s="5"/>
      <c r="P744" s="5"/>
      <c r="Q744" s="5"/>
      <c r="R744" s="5"/>
      <c r="S744" s="5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O745" s="5"/>
      <c r="P745" s="5"/>
      <c r="Q745" s="5"/>
      <c r="R745" s="5"/>
      <c r="S745" s="5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O746" s="5"/>
      <c r="P746" s="5"/>
      <c r="Q746" s="5"/>
      <c r="R746" s="5"/>
      <c r="S746" s="5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O747" s="5"/>
      <c r="P747" s="5"/>
      <c r="Q747" s="5"/>
      <c r="R747" s="5"/>
      <c r="S747" s="5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O748" s="5"/>
      <c r="P748" s="5"/>
      <c r="Q748" s="5"/>
      <c r="R748" s="5"/>
      <c r="S748" s="5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O749" s="5"/>
      <c r="P749" s="5"/>
      <c r="Q749" s="5"/>
      <c r="R749" s="5"/>
      <c r="S749" s="5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O750" s="5"/>
      <c r="P750" s="5"/>
      <c r="Q750" s="5"/>
      <c r="R750" s="5"/>
      <c r="S750" s="5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O751" s="5"/>
      <c r="P751" s="5"/>
      <c r="Q751" s="5"/>
      <c r="R751" s="5"/>
      <c r="S751" s="5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O752" s="5"/>
      <c r="P752" s="5"/>
      <c r="Q752" s="5"/>
      <c r="R752" s="5"/>
      <c r="S752" s="5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O753" s="5"/>
      <c r="P753" s="5"/>
      <c r="Q753" s="5"/>
      <c r="R753" s="5"/>
      <c r="S753" s="5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O754" s="5"/>
      <c r="P754" s="5"/>
      <c r="Q754" s="5"/>
      <c r="R754" s="5"/>
      <c r="S754" s="5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O755" s="5"/>
      <c r="P755" s="5"/>
      <c r="Q755" s="5"/>
      <c r="R755" s="5"/>
      <c r="S755" s="5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O756" s="5"/>
      <c r="P756" s="5"/>
      <c r="Q756" s="5"/>
      <c r="R756" s="5"/>
      <c r="S756" s="5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O757" s="5"/>
      <c r="P757" s="5"/>
      <c r="Q757" s="5"/>
      <c r="R757" s="5"/>
      <c r="S757" s="5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O758" s="5"/>
      <c r="P758" s="5"/>
      <c r="Q758" s="5"/>
      <c r="R758" s="5"/>
      <c r="S758" s="5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O759" s="5"/>
      <c r="P759" s="5"/>
      <c r="Q759" s="5"/>
      <c r="R759" s="5"/>
      <c r="S759" s="5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O760" s="5"/>
      <c r="P760" s="5"/>
      <c r="Q760" s="5"/>
      <c r="R760" s="5"/>
      <c r="S760" s="5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O761" s="5"/>
      <c r="P761" s="5"/>
      <c r="Q761" s="5"/>
      <c r="R761" s="5"/>
      <c r="S761" s="5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O762" s="5"/>
      <c r="P762" s="5"/>
      <c r="Q762" s="5"/>
      <c r="R762" s="5"/>
      <c r="S762" s="5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O763" s="5"/>
      <c r="P763" s="5"/>
      <c r="Q763" s="5"/>
      <c r="R763" s="5"/>
      <c r="S763" s="5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O764" s="5"/>
      <c r="P764" s="5"/>
      <c r="Q764" s="5"/>
      <c r="R764" s="5"/>
      <c r="S764" s="5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O765" s="5"/>
      <c r="P765" s="5"/>
      <c r="Q765" s="5"/>
      <c r="R765" s="5"/>
      <c r="S765" s="5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O766" s="5"/>
      <c r="P766" s="5"/>
      <c r="Q766" s="5"/>
      <c r="R766" s="5"/>
      <c r="S766" s="5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O767" s="5"/>
      <c r="P767" s="5"/>
      <c r="Q767" s="5"/>
      <c r="R767" s="5"/>
      <c r="S767" s="5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O768" s="5"/>
      <c r="P768" s="5"/>
      <c r="Q768" s="5"/>
      <c r="R768" s="5"/>
      <c r="S768" s="5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O769" s="5"/>
      <c r="P769" s="5"/>
      <c r="Q769" s="5"/>
      <c r="R769" s="5"/>
      <c r="S769" s="5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O770" s="5"/>
      <c r="P770" s="5"/>
      <c r="Q770" s="5"/>
      <c r="R770" s="5"/>
      <c r="S770" s="5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O771" s="5"/>
      <c r="P771" s="5"/>
      <c r="Q771" s="5"/>
      <c r="R771" s="5"/>
      <c r="S771" s="5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O772" s="5"/>
      <c r="P772" s="5"/>
      <c r="Q772" s="5"/>
      <c r="R772" s="5"/>
      <c r="S772" s="5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O773" s="5"/>
      <c r="P773" s="5"/>
      <c r="Q773" s="5"/>
      <c r="R773" s="5"/>
      <c r="S773" s="5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O774" s="5"/>
      <c r="P774" s="5"/>
      <c r="Q774" s="5"/>
      <c r="R774" s="5"/>
      <c r="S774" s="5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O775" s="5"/>
      <c r="P775" s="5"/>
      <c r="Q775" s="5"/>
      <c r="R775" s="5"/>
      <c r="S775" s="5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O776" s="5"/>
      <c r="P776" s="5"/>
      <c r="Q776" s="5"/>
      <c r="R776" s="5"/>
      <c r="S776" s="5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O777" s="5"/>
      <c r="P777" s="5"/>
      <c r="Q777" s="5"/>
      <c r="R777" s="5"/>
      <c r="S777" s="5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O778" s="5"/>
      <c r="P778" s="5"/>
      <c r="Q778" s="5"/>
      <c r="R778" s="5"/>
      <c r="S778" s="5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O779" s="5"/>
      <c r="P779" s="5"/>
      <c r="Q779" s="5"/>
      <c r="R779" s="5"/>
      <c r="S779" s="5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O780" s="5"/>
      <c r="P780" s="5"/>
      <c r="Q780" s="5"/>
      <c r="R780" s="5"/>
      <c r="S780" s="5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O781" s="5"/>
      <c r="P781" s="5"/>
      <c r="Q781" s="5"/>
      <c r="R781" s="5"/>
      <c r="S781" s="5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O782" s="5"/>
      <c r="P782" s="5"/>
      <c r="Q782" s="5"/>
      <c r="R782" s="5"/>
      <c r="S782" s="5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O783" s="5"/>
      <c r="P783" s="5"/>
      <c r="Q783" s="5"/>
      <c r="R783" s="5"/>
      <c r="S783" s="5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O784" s="5"/>
      <c r="P784" s="5"/>
      <c r="Q784" s="5"/>
      <c r="R784" s="5"/>
      <c r="S784" s="5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O785" s="5"/>
      <c r="P785" s="5"/>
      <c r="Q785" s="5"/>
      <c r="R785" s="5"/>
      <c r="S785" s="5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O786" s="5"/>
      <c r="P786" s="5"/>
      <c r="Q786" s="5"/>
      <c r="R786" s="5"/>
      <c r="S786" s="5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O787" s="5"/>
      <c r="P787" s="5"/>
      <c r="Q787" s="5"/>
      <c r="R787" s="5"/>
      <c r="S787" s="5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O788" s="5"/>
      <c r="P788" s="5"/>
      <c r="Q788" s="5"/>
      <c r="R788" s="5"/>
      <c r="S788" s="5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O789" s="5"/>
      <c r="P789" s="5"/>
      <c r="Q789" s="5"/>
      <c r="R789" s="5"/>
      <c r="S789" s="5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O790" s="5"/>
      <c r="P790" s="5"/>
      <c r="Q790" s="5"/>
      <c r="R790" s="5"/>
      <c r="S790" s="5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O791" s="5"/>
      <c r="P791" s="5"/>
      <c r="Q791" s="5"/>
      <c r="R791" s="5"/>
      <c r="S791" s="5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O792" s="5"/>
      <c r="P792" s="5"/>
      <c r="Q792" s="5"/>
      <c r="R792" s="5"/>
      <c r="S792" s="5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O793" s="5"/>
      <c r="P793" s="5"/>
      <c r="Q793" s="5"/>
      <c r="R793" s="5"/>
      <c r="S793" s="5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O794" s="5"/>
      <c r="P794" s="5"/>
      <c r="Q794" s="5"/>
      <c r="R794" s="5"/>
      <c r="S794" s="5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O795" s="5"/>
      <c r="P795" s="5"/>
      <c r="Q795" s="5"/>
      <c r="R795" s="5"/>
      <c r="S795" s="5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O796" s="5"/>
      <c r="P796" s="5"/>
      <c r="Q796" s="5"/>
      <c r="R796" s="5"/>
      <c r="S796" s="5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O797" s="5"/>
      <c r="P797" s="5"/>
      <c r="Q797" s="5"/>
      <c r="R797" s="5"/>
      <c r="S797" s="5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O798" s="5"/>
      <c r="P798" s="5"/>
      <c r="Q798" s="5"/>
      <c r="R798" s="5"/>
      <c r="S798" s="5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O799" s="5"/>
      <c r="P799" s="5"/>
      <c r="Q799" s="5"/>
      <c r="R799" s="5"/>
      <c r="S799" s="5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O800" s="5"/>
      <c r="P800" s="5"/>
      <c r="Q800" s="5"/>
      <c r="R800" s="5"/>
      <c r="S800" s="5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O801" s="5"/>
      <c r="P801" s="5"/>
      <c r="Q801" s="5"/>
      <c r="R801" s="5"/>
      <c r="S801" s="5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O802" s="5"/>
      <c r="P802" s="5"/>
      <c r="Q802" s="5"/>
      <c r="R802" s="5"/>
      <c r="S802" s="5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O803" s="5"/>
      <c r="P803" s="5"/>
      <c r="Q803" s="5"/>
      <c r="R803" s="5"/>
      <c r="S803" s="5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O804" s="5"/>
      <c r="P804" s="5"/>
      <c r="Q804" s="5"/>
      <c r="R804" s="5"/>
      <c r="S804" s="5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O805" s="5"/>
      <c r="P805" s="5"/>
      <c r="Q805" s="5"/>
      <c r="R805" s="5"/>
      <c r="S805" s="5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O806" s="5"/>
      <c r="P806" s="5"/>
      <c r="Q806" s="5"/>
      <c r="R806" s="5"/>
      <c r="S806" s="5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O807" s="5"/>
      <c r="P807" s="5"/>
      <c r="Q807" s="5"/>
      <c r="R807" s="5"/>
      <c r="S807" s="5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O808" s="5"/>
      <c r="P808" s="5"/>
      <c r="Q808" s="5"/>
      <c r="R808" s="5"/>
      <c r="S808" s="5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O809" s="5"/>
      <c r="P809" s="5"/>
      <c r="Q809" s="5"/>
      <c r="R809" s="5"/>
      <c r="S809" s="5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O810" s="5"/>
      <c r="P810" s="5"/>
      <c r="Q810" s="5"/>
      <c r="R810" s="5"/>
      <c r="S810" s="5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O811" s="5"/>
      <c r="P811" s="5"/>
      <c r="Q811" s="5"/>
      <c r="R811" s="5"/>
      <c r="S811" s="5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O812" s="5"/>
      <c r="P812" s="5"/>
      <c r="Q812" s="5"/>
      <c r="R812" s="5"/>
      <c r="S812" s="5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O813" s="5"/>
      <c r="P813" s="5"/>
      <c r="Q813" s="5"/>
      <c r="R813" s="5"/>
      <c r="S813" s="5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O814" s="5"/>
      <c r="P814" s="5"/>
      <c r="Q814" s="5"/>
      <c r="R814" s="5"/>
      <c r="S814" s="5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O815" s="5"/>
      <c r="P815" s="5"/>
      <c r="Q815" s="5"/>
      <c r="R815" s="5"/>
      <c r="S815" s="5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O816" s="5"/>
      <c r="P816" s="5"/>
      <c r="Q816" s="5"/>
      <c r="R816" s="5"/>
      <c r="S816" s="5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O817" s="5"/>
      <c r="P817" s="5"/>
      <c r="Q817" s="5"/>
      <c r="R817" s="5"/>
      <c r="S817" s="5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O818" s="5"/>
      <c r="P818" s="5"/>
      <c r="Q818" s="5"/>
      <c r="R818" s="5"/>
      <c r="S818" s="5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O819" s="5"/>
      <c r="P819" s="5"/>
      <c r="Q819" s="5"/>
      <c r="R819" s="5"/>
      <c r="S819" s="5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O820" s="5"/>
      <c r="P820" s="5"/>
      <c r="Q820" s="5"/>
      <c r="R820" s="5"/>
      <c r="S820" s="5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O821" s="5"/>
      <c r="P821" s="5"/>
      <c r="Q821" s="5"/>
      <c r="R821" s="5"/>
      <c r="S821" s="5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O822" s="5"/>
      <c r="P822" s="5"/>
      <c r="Q822" s="5"/>
      <c r="R822" s="5"/>
      <c r="S822" s="5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O823" s="5"/>
      <c r="P823" s="5"/>
      <c r="Q823" s="5"/>
      <c r="R823" s="5"/>
      <c r="S823" s="5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O824" s="5"/>
      <c r="P824" s="5"/>
      <c r="Q824" s="5"/>
      <c r="R824" s="5"/>
      <c r="S824" s="5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O825" s="5"/>
      <c r="P825" s="5"/>
      <c r="Q825" s="5"/>
      <c r="R825" s="5"/>
      <c r="S825" s="5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O826" s="5"/>
      <c r="P826" s="5"/>
      <c r="Q826" s="5"/>
      <c r="R826" s="5"/>
      <c r="S826" s="5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O827" s="5"/>
      <c r="P827" s="5"/>
      <c r="Q827" s="5"/>
      <c r="R827" s="5"/>
      <c r="S827" s="5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O828" s="5"/>
      <c r="P828" s="5"/>
      <c r="Q828" s="5"/>
      <c r="R828" s="5"/>
      <c r="S828" s="5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O829" s="5"/>
      <c r="P829" s="5"/>
      <c r="Q829" s="5"/>
      <c r="R829" s="5"/>
      <c r="S829" s="5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O830" s="5"/>
      <c r="P830" s="5"/>
      <c r="Q830" s="5"/>
      <c r="R830" s="5"/>
      <c r="S830" s="5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O831" s="5"/>
      <c r="P831" s="5"/>
      <c r="Q831" s="5"/>
      <c r="R831" s="5"/>
      <c r="S831" s="5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O832" s="5"/>
      <c r="P832" s="5"/>
      <c r="Q832" s="5"/>
      <c r="R832" s="5"/>
      <c r="S832" s="5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O833" s="5"/>
      <c r="P833" s="5"/>
      <c r="Q833" s="5"/>
      <c r="R833" s="5"/>
      <c r="S833" s="5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O834" s="5"/>
      <c r="P834" s="5"/>
      <c r="Q834" s="5"/>
      <c r="R834" s="5"/>
      <c r="S834" s="5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O835" s="5"/>
      <c r="P835" s="5"/>
      <c r="Q835" s="5"/>
      <c r="R835" s="5"/>
      <c r="S835" s="5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O836" s="5"/>
      <c r="P836" s="5"/>
      <c r="Q836" s="5"/>
      <c r="R836" s="5"/>
      <c r="S836" s="5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O837" s="5"/>
      <c r="P837" s="5"/>
      <c r="Q837" s="5"/>
      <c r="R837" s="5"/>
      <c r="S837" s="5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O838" s="5"/>
      <c r="P838" s="5"/>
      <c r="Q838" s="5"/>
      <c r="R838" s="5"/>
      <c r="S838" s="5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O839" s="5"/>
      <c r="P839" s="5"/>
      <c r="Q839" s="5"/>
      <c r="R839" s="5"/>
      <c r="S839" s="5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O840" s="5"/>
      <c r="P840" s="5"/>
      <c r="Q840" s="5"/>
      <c r="R840" s="5"/>
      <c r="S840" s="5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O841" s="5"/>
      <c r="P841" s="5"/>
      <c r="Q841" s="5"/>
      <c r="R841" s="5"/>
      <c r="S841" s="5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O842" s="5"/>
      <c r="P842" s="5"/>
      <c r="Q842" s="5"/>
      <c r="R842" s="5"/>
      <c r="S842" s="5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O843" s="5"/>
      <c r="P843" s="5"/>
      <c r="Q843" s="5"/>
      <c r="R843" s="5"/>
      <c r="S843" s="5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O844" s="5"/>
      <c r="P844" s="5"/>
      <c r="Q844" s="5"/>
      <c r="R844" s="5"/>
      <c r="S844" s="5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O845" s="5"/>
      <c r="P845" s="5"/>
      <c r="Q845" s="5"/>
      <c r="R845" s="5"/>
      <c r="S845" s="5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O846" s="5"/>
      <c r="P846" s="5"/>
      <c r="Q846" s="5"/>
      <c r="R846" s="5"/>
      <c r="S846" s="5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O847" s="5"/>
      <c r="P847" s="5"/>
      <c r="Q847" s="5"/>
      <c r="R847" s="5"/>
      <c r="S847" s="5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O848" s="5"/>
      <c r="P848" s="5"/>
      <c r="Q848" s="5"/>
      <c r="R848" s="5"/>
      <c r="S848" s="5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O849" s="5"/>
      <c r="P849" s="5"/>
      <c r="Q849" s="5"/>
      <c r="R849" s="5"/>
      <c r="S849" s="5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O850" s="5"/>
      <c r="P850" s="5"/>
      <c r="Q850" s="5"/>
      <c r="R850" s="5"/>
      <c r="S850" s="5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O851" s="5"/>
      <c r="P851" s="5"/>
      <c r="Q851" s="5"/>
      <c r="R851" s="5"/>
      <c r="S851" s="5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O852" s="5"/>
      <c r="P852" s="5"/>
      <c r="Q852" s="5"/>
      <c r="R852" s="5"/>
      <c r="S852" s="5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O853" s="5"/>
      <c r="P853" s="5"/>
      <c r="Q853" s="5"/>
      <c r="R853" s="5"/>
      <c r="S853" s="5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O854" s="5"/>
      <c r="P854" s="5"/>
      <c r="Q854" s="5"/>
      <c r="R854" s="5"/>
      <c r="S854" s="5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O855" s="5"/>
      <c r="P855" s="5"/>
      <c r="Q855" s="5"/>
      <c r="R855" s="5"/>
      <c r="S855" s="5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O856" s="5"/>
      <c r="P856" s="5"/>
      <c r="Q856" s="5"/>
      <c r="R856" s="5"/>
      <c r="S856" s="5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O857" s="5"/>
      <c r="P857" s="5"/>
      <c r="Q857" s="5"/>
      <c r="R857" s="5"/>
      <c r="S857" s="5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O858" s="5"/>
      <c r="P858" s="5"/>
      <c r="Q858" s="5"/>
      <c r="R858" s="5"/>
      <c r="S858" s="5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O859" s="5"/>
      <c r="P859" s="5"/>
      <c r="Q859" s="5"/>
      <c r="R859" s="5"/>
      <c r="S859" s="5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O860" s="5"/>
      <c r="P860" s="5"/>
      <c r="Q860" s="5"/>
      <c r="R860" s="5"/>
      <c r="S860" s="5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O861" s="5"/>
      <c r="P861" s="5"/>
      <c r="Q861" s="5"/>
      <c r="R861" s="5"/>
      <c r="S861" s="5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O862" s="5"/>
      <c r="P862" s="5"/>
      <c r="Q862" s="5"/>
      <c r="R862" s="5"/>
      <c r="S862" s="5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O863" s="5"/>
      <c r="P863" s="5"/>
      <c r="Q863" s="5"/>
      <c r="R863" s="5"/>
      <c r="S863" s="5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O864" s="5"/>
      <c r="P864" s="5"/>
      <c r="Q864" s="5"/>
      <c r="R864" s="5"/>
      <c r="S864" s="5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O865" s="5"/>
      <c r="P865" s="5"/>
      <c r="Q865" s="5"/>
      <c r="R865" s="5"/>
      <c r="S865" s="5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O866" s="5"/>
      <c r="P866" s="5"/>
      <c r="Q866" s="5"/>
      <c r="R866" s="5"/>
      <c r="S866" s="5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O867" s="5"/>
      <c r="P867" s="5"/>
      <c r="Q867" s="5"/>
      <c r="R867" s="5"/>
      <c r="S867" s="5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O868" s="5"/>
      <c r="P868" s="5"/>
      <c r="Q868" s="5"/>
      <c r="R868" s="5"/>
      <c r="S868" s="5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O869" s="5"/>
      <c r="P869" s="5"/>
      <c r="Q869" s="5"/>
      <c r="R869" s="5"/>
      <c r="S869" s="5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O870" s="5"/>
      <c r="P870" s="5"/>
      <c r="Q870" s="5"/>
      <c r="R870" s="5"/>
      <c r="S870" s="5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O871" s="5"/>
      <c r="P871" s="5"/>
      <c r="Q871" s="5"/>
      <c r="R871" s="5"/>
      <c r="S871" s="5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O872" s="5"/>
      <c r="P872" s="5"/>
      <c r="Q872" s="5"/>
      <c r="R872" s="5"/>
      <c r="S872" s="5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O873" s="5"/>
      <c r="P873" s="5"/>
      <c r="Q873" s="5"/>
      <c r="R873" s="5"/>
      <c r="S873" s="5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O874" s="5"/>
      <c r="P874" s="5"/>
      <c r="Q874" s="5"/>
      <c r="R874" s="5"/>
      <c r="S874" s="5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O875" s="5"/>
      <c r="P875" s="5"/>
      <c r="Q875" s="5"/>
      <c r="R875" s="5"/>
      <c r="S875" s="5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O876" s="5"/>
      <c r="P876" s="5"/>
      <c r="Q876" s="5"/>
      <c r="R876" s="5"/>
      <c r="S876" s="5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O877" s="5"/>
      <c r="P877" s="5"/>
      <c r="Q877" s="5"/>
      <c r="R877" s="5"/>
      <c r="S877" s="5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O878" s="5"/>
      <c r="P878" s="5"/>
      <c r="Q878" s="5"/>
      <c r="R878" s="5"/>
      <c r="S878" s="5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O879" s="5"/>
      <c r="P879" s="5"/>
      <c r="Q879" s="5"/>
      <c r="R879" s="5"/>
      <c r="S879" s="5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O880" s="5"/>
      <c r="P880" s="5"/>
      <c r="Q880" s="5"/>
      <c r="R880" s="5"/>
      <c r="S880" s="5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O881" s="5"/>
      <c r="P881" s="5"/>
      <c r="Q881" s="5"/>
      <c r="R881" s="5"/>
      <c r="S881" s="5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O882" s="5"/>
      <c r="P882" s="5"/>
      <c r="Q882" s="5"/>
      <c r="R882" s="5"/>
      <c r="S882" s="5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O883" s="5"/>
      <c r="P883" s="5"/>
      <c r="Q883" s="5"/>
      <c r="R883" s="5"/>
      <c r="S883" s="5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O884" s="5"/>
      <c r="P884" s="5"/>
      <c r="Q884" s="5"/>
      <c r="R884" s="5"/>
      <c r="S884" s="5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O885" s="5"/>
      <c r="P885" s="5"/>
      <c r="Q885" s="5"/>
      <c r="R885" s="5"/>
      <c r="S885" s="5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O886" s="5"/>
      <c r="P886" s="5"/>
      <c r="Q886" s="5"/>
      <c r="R886" s="5"/>
      <c r="S886" s="5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O887" s="5"/>
      <c r="P887" s="5"/>
      <c r="Q887" s="5"/>
      <c r="R887" s="5"/>
      <c r="S887" s="5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O888" s="5"/>
      <c r="P888" s="5"/>
      <c r="Q888" s="5"/>
      <c r="R888" s="5"/>
      <c r="S888" s="5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O889" s="5"/>
      <c r="P889" s="5"/>
      <c r="Q889" s="5"/>
      <c r="R889" s="5"/>
      <c r="S889" s="5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O890" s="5"/>
      <c r="P890" s="5"/>
      <c r="Q890" s="5"/>
      <c r="R890" s="5"/>
      <c r="S890" s="5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O891" s="5"/>
      <c r="P891" s="5"/>
      <c r="Q891" s="5"/>
      <c r="R891" s="5"/>
      <c r="S891" s="5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O892" s="5"/>
      <c r="P892" s="5"/>
      <c r="Q892" s="5"/>
      <c r="R892" s="5"/>
      <c r="S892" s="5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O893" s="5"/>
      <c r="P893" s="5"/>
      <c r="Q893" s="5"/>
      <c r="R893" s="5"/>
      <c r="S893" s="5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O894" s="5"/>
      <c r="P894" s="5"/>
      <c r="Q894" s="5"/>
      <c r="R894" s="5"/>
      <c r="S894" s="5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O895" s="5"/>
      <c r="P895" s="5"/>
      <c r="Q895" s="5"/>
      <c r="R895" s="5"/>
      <c r="S895" s="5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O896" s="5"/>
      <c r="P896" s="5"/>
      <c r="Q896" s="5"/>
      <c r="R896" s="5"/>
      <c r="S896" s="5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O897" s="5"/>
      <c r="P897" s="5"/>
      <c r="Q897" s="5"/>
      <c r="R897" s="5"/>
      <c r="S897" s="5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O898" s="5"/>
      <c r="P898" s="5"/>
      <c r="Q898" s="5"/>
      <c r="R898" s="5"/>
      <c r="S898" s="5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O899" s="5"/>
      <c r="P899" s="5"/>
      <c r="Q899" s="5"/>
      <c r="R899" s="5"/>
      <c r="S899" s="5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O900" s="5"/>
      <c r="P900" s="5"/>
      <c r="Q900" s="5"/>
      <c r="R900" s="5"/>
      <c r="S900" s="5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O901" s="5"/>
      <c r="P901" s="5"/>
      <c r="Q901" s="5"/>
      <c r="R901" s="5"/>
      <c r="S901" s="5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O902" s="5"/>
      <c r="P902" s="5"/>
      <c r="Q902" s="5"/>
      <c r="R902" s="5"/>
      <c r="S902" s="5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O903" s="5"/>
      <c r="P903" s="5"/>
      <c r="Q903" s="5"/>
      <c r="R903" s="5"/>
      <c r="S903" s="5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O904" s="5"/>
      <c r="P904" s="5"/>
      <c r="Q904" s="5"/>
      <c r="R904" s="5"/>
      <c r="S904" s="5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O905" s="5"/>
      <c r="P905" s="5"/>
      <c r="Q905" s="5"/>
      <c r="R905" s="5"/>
      <c r="S905" s="5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O906" s="5"/>
      <c r="P906" s="5"/>
      <c r="Q906" s="5"/>
      <c r="R906" s="5"/>
      <c r="S906" s="5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O907" s="5"/>
      <c r="P907" s="5"/>
      <c r="Q907" s="5"/>
      <c r="R907" s="5"/>
      <c r="S907" s="5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O908" s="5"/>
      <c r="P908" s="5"/>
      <c r="Q908" s="5"/>
      <c r="R908" s="5"/>
      <c r="S908" s="5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O909" s="5"/>
      <c r="P909" s="5"/>
      <c r="Q909" s="5"/>
      <c r="R909" s="5"/>
      <c r="S909" s="5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O910" s="5"/>
      <c r="P910" s="5"/>
      <c r="Q910" s="5"/>
      <c r="R910" s="5"/>
      <c r="S910" s="5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O911" s="5"/>
      <c r="P911" s="5"/>
      <c r="Q911" s="5"/>
      <c r="R911" s="5"/>
      <c r="S911" s="5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O912" s="5"/>
      <c r="P912" s="5"/>
      <c r="Q912" s="5"/>
      <c r="R912" s="5"/>
      <c r="S912" s="5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O913" s="5"/>
      <c r="P913" s="5"/>
      <c r="Q913" s="5"/>
      <c r="R913" s="5"/>
      <c r="S913" s="5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O914" s="5"/>
      <c r="P914" s="5"/>
      <c r="Q914" s="5"/>
      <c r="R914" s="5"/>
      <c r="S914" s="5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O915" s="5"/>
      <c r="P915" s="5"/>
      <c r="Q915" s="5"/>
      <c r="R915" s="5"/>
      <c r="S915" s="5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O916" s="5"/>
      <c r="P916" s="5"/>
      <c r="Q916" s="5"/>
      <c r="R916" s="5"/>
      <c r="S916" s="5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O917" s="5"/>
      <c r="P917" s="5"/>
      <c r="Q917" s="5"/>
      <c r="R917" s="5"/>
      <c r="S917" s="5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O918" s="5"/>
      <c r="P918" s="5"/>
      <c r="Q918" s="5"/>
      <c r="R918" s="5"/>
      <c r="S918" s="5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O919" s="5"/>
      <c r="P919" s="5"/>
      <c r="Q919" s="5"/>
      <c r="R919" s="5"/>
      <c r="S919" s="5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O920" s="5"/>
      <c r="P920" s="5"/>
      <c r="Q920" s="5"/>
      <c r="R920" s="5"/>
      <c r="S920" s="5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O921" s="5"/>
      <c r="P921" s="5"/>
      <c r="Q921" s="5"/>
      <c r="R921" s="5"/>
      <c r="S921" s="5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O922" s="5"/>
      <c r="P922" s="5"/>
      <c r="Q922" s="5"/>
      <c r="R922" s="5"/>
      <c r="S922" s="5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O923" s="5"/>
      <c r="P923" s="5"/>
      <c r="Q923" s="5"/>
      <c r="R923" s="5"/>
      <c r="S923" s="5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O924" s="5"/>
      <c r="P924" s="5"/>
      <c r="Q924" s="5"/>
      <c r="R924" s="5"/>
      <c r="S924" s="5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O925" s="5"/>
      <c r="P925" s="5"/>
      <c r="Q925" s="5"/>
      <c r="R925" s="5"/>
      <c r="S925" s="5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O926" s="5"/>
      <c r="P926" s="5"/>
      <c r="Q926" s="5"/>
      <c r="R926" s="5"/>
      <c r="S926" s="5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O927" s="5"/>
      <c r="P927" s="5"/>
      <c r="Q927" s="5"/>
      <c r="R927" s="5"/>
      <c r="S927" s="5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O928" s="5"/>
      <c r="P928" s="5"/>
      <c r="Q928" s="5"/>
      <c r="R928" s="5"/>
      <c r="S928" s="5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O929" s="5"/>
      <c r="P929" s="5"/>
      <c r="Q929" s="5"/>
      <c r="R929" s="5"/>
      <c r="S929" s="5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O930" s="5"/>
      <c r="P930" s="5"/>
      <c r="Q930" s="5"/>
      <c r="R930" s="5"/>
      <c r="S930" s="5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O931" s="5"/>
      <c r="P931" s="5"/>
      <c r="Q931" s="5"/>
      <c r="R931" s="5"/>
      <c r="S931" s="5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O932" s="5"/>
      <c r="P932" s="5"/>
      <c r="Q932" s="5"/>
      <c r="R932" s="5"/>
      <c r="S932" s="5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O933" s="5"/>
      <c r="P933" s="5"/>
      <c r="Q933" s="5"/>
      <c r="R933" s="5"/>
      <c r="S933" s="5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O934" s="5"/>
      <c r="P934" s="5"/>
      <c r="Q934" s="5"/>
      <c r="R934" s="5"/>
      <c r="S934" s="5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O935" s="5"/>
      <c r="P935" s="5"/>
      <c r="Q935" s="5"/>
      <c r="R935" s="5"/>
      <c r="S935" s="5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O936" s="5"/>
      <c r="P936" s="5"/>
      <c r="Q936" s="5"/>
      <c r="R936" s="5"/>
      <c r="S936" s="5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O937" s="5"/>
      <c r="P937" s="5"/>
      <c r="Q937" s="5"/>
      <c r="R937" s="5"/>
      <c r="S937" s="5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O938" s="5"/>
      <c r="P938" s="5"/>
      <c r="Q938" s="5"/>
      <c r="R938" s="5"/>
      <c r="S938" s="5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O939" s="5"/>
      <c r="P939" s="5"/>
      <c r="Q939" s="5"/>
      <c r="R939" s="5"/>
      <c r="S939" s="5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O940" s="5"/>
      <c r="P940" s="5"/>
      <c r="Q940" s="5"/>
      <c r="R940" s="5"/>
      <c r="S940" s="5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O941" s="5"/>
      <c r="P941" s="5"/>
      <c r="Q941" s="5"/>
      <c r="R941" s="5"/>
      <c r="S941" s="5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O942" s="5"/>
      <c r="P942" s="5"/>
      <c r="Q942" s="5"/>
      <c r="R942" s="5"/>
      <c r="S942" s="5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O943" s="5"/>
      <c r="P943" s="5"/>
      <c r="Q943" s="5"/>
      <c r="R943" s="5"/>
      <c r="S943" s="5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O944" s="5"/>
      <c r="P944" s="5"/>
      <c r="Q944" s="5"/>
      <c r="R944" s="5"/>
      <c r="S944" s="5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O945" s="5"/>
      <c r="P945" s="5"/>
      <c r="Q945" s="5"/>
      <c r="R945" s="5"/>
      <c r="S945" s="5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O946" s="5"/>
      <c r="P946" s="5"/>
      <c r="Q946" s="5"/>
      <c r="R946" s="5"/>
      <c r="S946" s="5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O947" s="5"/>
      <c r="P947" s="5"/>
      <c r="Q947" s="5"/>
      <c r="R947" s="5"/>
      <c r="S947" s="5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O948" s="5"/>
      <c r="P948" s="5"/>
      <c r="Q948" s="5"/>
      <c r="R948" s="5"/>
      <c r="S948" s="5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O949" s="5"/>
      <c r="P949" s="5"/>
      <c r="Q949" s="5"/>
      <c r="R949" s="5"/>
      <c r="S949" s="5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O950" s="5"/>
      <c r="P950" s="5"/>
      <c r="Q950" s="5"/>
      <c r="R950" s="5"/>
      <c r="S950" s="5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O951" s="5"/>
      <c r="P951" s="5"/>
      <c r="Q951" s="5"/>
      <c r="R951" s="5"/>
      <c r="S951" s="5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O952" s="5"/>
      <c r="P952" s="5"/>
      <c r="Q952" s="5"/>
      <c r="R952" s="5"/>
      <c r="S952" s="5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O953" s="5"/>
      <c r="P953" s="5"/>
      <c r="Q953" s="5"/>
      <c r="R953" s="5"/>
      <c r="S953" s="5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O954" s="5"/>
      <c r="P954" s="5"/>
      <c r="Q954" s="5"/>
      <c r="R954" s="5"/>
      <c r="S954" s="5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O955" s="5"/>
      <c r="P955" s="5"/>
      <c r="Q955" s="5"/>
      <c r="R955" s="5"/>
      <c r="S955" s="5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O956" s="5"/>
      <c r="P956" s="5"/>
      <c r="Q956" s="5"/>
      <c r="R956" s="5"/>
      <c r="S956" s="5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O957" s="5"/>
      <c r="P957" s="5"/>
      <c r="Q957" s="5"/>
      <c r="R957" s="5"/>
      <c r="S957" s="5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O958" s="5"/>
      <c r="P958" s="5"/>
      <c r="Q958" s="5"/>
      <c r="R958" s="5"/>
      <c r="S958" s="5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O959" s="5"/>
      <c r="P959" s="5"/>
      <c r="Q959" s="5"/>
      <c r="R959" s="5"/>
      <c r="S959" s="5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O960" s="5"/>
      <c r="P960" s="5"/>
      <c r="Q960" s="5"/>
      <c r="R960" s="5"/>
      <c r="S960" s="5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O961" s="5"/>
      <c r="P961" s="5"/>
      <c r="Q961" s="5"/>
      <c r="R961" s="5"/>
      <c r="S961" s="5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O962" s="5"/>
      <c r="P962" s="5"/>
      <c r="Q962" s="5"/>
      <c r="R962" s="5"/>
      <c r="S962" s="5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O963" s="5"/>
      <c r="P963" s="5"/>
      <c r="Q963" s="5"/>
      <c r="R963" s="5"/>
      <c r="S963" s="5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O964" s="5"/>
      <c r="P964" s="5"/>
      <c r="Q964" s="5"/>
      <c r="R964" s="5"/>
      <c r="S964" s="5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O965" s="5"/>
      <c r="P965" s="5"/>
      <c r="Q965" s="5"/>
      <c r="R965" s="5"/>
      <c r="S965" s="5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O966" s="5"/>
      <c r="P966" s="5"/>
      <c r="Q966" s="5"/>
      <c r="R966" s="5"/>
      <c r="S966" s="5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O967" s="5"/>
      <c r="P967" s="5"/>
      <c r="Q967" s="5"/>
      <c r="R967" s="5"/>
      <c r="S967" s="5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O968" s="5"/>
      <c r="P968" s="5"/>
      <c r="Q968" s="5"/>
      <c r="R968" s="5"/>
      <c r="S968" s="5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O969" s="5"/>
      <c r="P969" s="5"/>
      <c r="Q969" s="5"/>
      <c r="R969" s="5"/>
      <c r="S969" s="5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O970" s="5"/>
      <c r="P970" s="5"/>
      <c r="Q970" s="5"/>
      <c r="R970" s="5"/>
      <c r="S970" s="5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O971" s="5"/>
      <c r="P971" s="5"/>
      <c r="Q971" s="5"/>
      <c r="R971" s="5"/>
      <c r="S971" s="5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O972" s="5"/>
      <c r="P972" s="5"/>
      <c r="Q972" s="5"/>
      <c r="R972" s="5"/>
      <c r="S972" s="5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O973" s="5"/>
      <c r="P973" s="5"/>
      <c r="Q973" s="5"/>
      <c r="R973" s="5"/>
      <c r="S973" s="5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O974" s="5"/>
      <c r="P974" s="5"/>
      <c r="Q974" s="5"/>
      <c r="R974" s="5"/>
      <c r="S974" s="5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O975" s="5"/>
      <c r="P975" s="5"/>
      <c r="Q975" s="5"/>
      <c r="R975" s="5"/>
      <c r="S975" s="5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O976" s="5"/>
      <c r="P976" s="5"/>
      <c r="Q976" s="5"/>
      <c r="R976" s="5"/>
      <c r="S976" s="5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O977" s="5"/>
      <c r="P977" s="5"/>
      <c r="Q977" s="5"/>
      <c r="R977" s="5"/>
      <c r="S977" s="5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O978" s="5"/>
      <c r="P978" s="5"/>
      <c r="Q978" s="5"/>
      <c r="R978" s="5"/>
      <c r="S978" s="5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O979" s="5"/>
      <c r="P979" s="5"/>
      <c r="Q979" s="5"/>
      <c r="R979" s="5"/>
      <c r="S979" s="5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O980" s="5"/>
      <c r="P980" s="5"/>
      <c r="Q980" s="5"/>
      <c r="R980" s="5"/>
      <c r="S980" s="5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O981" s="5"/>
      <c r="P981" s="5"/>
      <c r="Q981" s="5"/>
      <c r="R981" s="5"/>
      <c r="S981" s="5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O982" s="5"/>
      <c r="P982" s="5"/>
      <c r="Q982" s="5"/>
      <c r="R982" s="5"/>
      <c r="S982" s="5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O983" s="5"/>
      <c r="P983" s="5"/>
      <c r="Q983" s="5"/>
      <c r="R983" s="5"/>
      <c r="S983" s="5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O984" s="5"/>
      <c r="P984" s="5"/>
      <c r="Q984" s="5"/>
      <c r="R984" s="5"/>
      <c r="S984" s="5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O985" s="5"/>
      <c r="P985" s="5"/>
      <c r="Q985" s="5"/>
      <c r="R985" s="5"/>
      <c r="S985" s="5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O986" s="5"/>
      <c r="P986" s="5"/>
      <c r="Q986" s="5"/>
      <c r="R986" s="5"/>
      <c r="S986" s="5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O987" s="5"/>
      <c r="P987" s="5"/>
      <c r="Q987" s="5"/>
      <c r="R987" s="5"/>
      <c r="S987" s="5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O988" s="5"/>
      <c r="P988" s="5"/>
      <c r="Q988" s="5"/>
      <c r="R988" s="5"/>
      <c r="S988" s="5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O989" s="5"/>
      <c r="P989" s="5"/>
      <c r="Q989" s="5"/>
      <c r="R989" s="5"/>
      <c r="S989" s="5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O990" s="5"/>
      <c r="P990" s="5"/>
      <c r="Q990" s="5"/>
      <c r="R990" s="5"/>
      <c r="S990" s="5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O991" s="5"/>
      <c r="P991" s="5"/>
      <c r="Q991" s="5"/>
      <c r="R991" s="5"/>
      <c r="S991" s="5"/>
    </row>
    <row r="992" ht="14.25" customHeight="1">
      <c r="F992" s="2"/>
      <c r="O992" s="5"/>
      <c r="P992" s="5"/>
      <c r="Q992" s="5"/>
      <c r="R992" s="5"/>
      <c r="S992" s="5"/>
    </row>
    <row r="993" ht="14.25" customHeight="1">
      <c r="F993" s="2"/>
      <c r="Q993" s="5"/>
      <c r="R993" s="5"/>
      <c r="S993" s="5"/>
    </row>
  </sheetData>
  <mergeCells count="20">
    <mergeCell ref="I1:K1"/>
    <mergeCell ref="B2:E2"/>
    <mergeCell ref="B3:E3"/>
    <mergeCell ref="B4:E4"/>
    <mergeCell ref="B6:E6"/>
    <mergeCell ref="B7:E7"/>
    <mergeCell ref="B8:E8"/>
    <mergeCell ref="G26:J26"/>
    <mergeCell ref="G27:G28"/>
    <mergeCell ref="I27:J27"/>
    <mergeCell ref="I28:J28"/>
    <mergeCell ref="I29:J29"/>
    <mergeCell ref="G30:I30"/>
    <mergeCell ref="B9:E9"/>
    <mergeCell ref="A12:B12"/>
    <mergeCell ref="A16:C16"/>
    <mergeCell ref="D16:E16"/>
    <mergeCell ref="A17:C17"/>
    <mergeCell ref="D17:E17"/>
    <mergeCell ref="A18:C18"/>
  </mergeCells>
  <conditionalFormatting sqref="D20 A22:E26">
    <cfRule type="expression" dxfId="4" priority="1">
      <formula>$A$24=""</formula>
    </cfRule>
  </conditionalFormatting>
  <conditionalFormatting sqref="A12">
    <cfRule type="expression" dxfId="4" priority="2">
      <formula>$A$12=""</formula>
    </cfRule>
  </conditionalFormatting>
  <conditionalFormatting sqref="A12">
    <cfRule type="expression" dxfId="5" priority="3">
      <formula>IF($A$12="",0,1)</formula>
    </cfRule>
  </conditionalFormatting>
  <dataValidations>
    <dataValidation type="list" allowBlank="1" showErrorMessage="1" sqref="D16">
      <formula1>'3. Уровень обслуживания'!$A$4:$A$7</formula1>
    </dataValidation>
    <dataValidation type="list" allowBlank="1" showErrorMessage="1" sqref="D17">
      <formula1>'3. Уровень обслуживания'!$A$29:$A$32</formula1>
    </dataValidation>
    <dataValidation type="list" allowBlank="1" showErrorMessage="1" sqref="B9 B10:E10">
      <formula1>'7. Ставки'!$H$3:$H$14</formula1>
    </dataValidation>
  </dataValidations>
  <hyperlinks>
    <hyperlink display="Командировочные расходы" location="null!A1" ref="G36"/>
  </hyperlinks>
  <printOptions/>
  <pageMargins bottom="0.75" footer="0.0" header="0.0" left="0.7" right="0.7" top="0.75"/>
  <pageSetup orientation="portrait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86"/>
    <col customWidth="1" min="2" max="2" width="17.29"/>
    <col customWidth="1" min="3" max="3" width="77.57"/>
    <col customWidth="1" min="4" max="4" width="12.71"/>
    <col customWidth="1" min="5" max="5" width="15.43"/>
    <col customWidth="1" min="6" max="6" width="16.86"/>
    <col customWidth="1" min="7" max="7" width="11.71"/>
    <col customWidth="1" min="8" max="8" width="10.43"/>
    <col customWidth="1" min="9" max="9" width="27.57"/>
    <col customWidth="1" min="10" max="10" width="31.43"/>
    <col customWidth="1" min="11" max="11" width="37.57"/>
    <col customWidth="1" min="12" max="12" width="16.43"/>
    <col customWidth="1" min="13" max="13" width="3.0"/>
    <col customWidth="1" min="14" max="14" width="13.0"/>
    <col customWidth="1" min="15" max="15" width="3.0"/>
    <col customWidth="1" min="16" max="18" width="13.0"/>
    <col customWidth="1" min="19" max="19" width="14.14"/>
    <col customWidth="1" min="20" max="20" width="22.29"/>
    <col customWidth="1" min="21" max="21" width="10.14"/>
    <col customWidth="1" min="22" max="35" width="9.14"/>
  </cols>
  <sheetData>
    <row r="1" ht="14.25" customHeight="1">
      <c r="A1" s="181" t="s">
        <v>79</v>
      </c>
      <c r="B1" s="182"/>
      <c r="C1" s="182"/>
      <c r="D1" s="182"/>
      <c r="E1" s="182"/>
      <c r="F1" s="182"/>
      <c r="G1" s="182"/>
      <c r="H1" s="182"/>
      <c r="I1" s="182"/>
      <c r="J1" s="183"/>
      <c r="K1" s="183"/>
      <c r="L1" s="183"/>
      <c r="M1" s="2"/>
      <c r="N1" s="2"/>
      <c r="O1" s="2"/>
      <c r="P1" s="184" t="s">
        <v>80</v>
      </c>
      <c r="Q1" s="185">
        <v>1000.0</v>
      </c>
      <c r="R1" s="186" t="s">
        <v>81</v>
      </c>
      <c r="S1" s="2"/>
      <c r="T1" s="187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87"/>
    </row>
    <row r="2" ht="14.25" customHeight="1">
      <c r="A2" s="188"/>
      <c r="B2" s="189"/>
      <c r="C2" s="189">
        <v>1.0</v>
      </c>
      <c r="D2" s="189">
        <f t="shared" ref="D2:L2" si="1">C2+1</f>
        <v>2</v>
      </c>
      <c r="E2" s="189">
        <f t="shared" si="1"/>
        <v>3</v>
      </c>
      <c r="F2" s="189">
        <f t="shared" si="1"/>
        <v>4</v>
      </c>
      <c r="G2" s="189">
        <f t="shared" si="1"/>
        <v>5</v>
      </c>
      <c r="H2" s="189">
        <f t="shared" si="1"/>
        <v>6</v>
      </c>
      <c r="I2" s="189">
        <f t="shared" si="1"/>
        <v>7</v>
      </c>
      <c r="J2" s="189">
        <f t="shared" si="1"/>
        <v>8</v>
      </c>
      <c r="K2" s="189">
        <f t="shared" si="1"/>
        <v>9</v>
      </c>
      <c r="L2" s="189">
        <f t="shared" si="1"/>
        <v>10</v>
      </c>
      <c r="M2" s="2"/>
      <c r="N2" s="2"/>
      <c r="O2" s="2"/>
      <c r="P2" s="186" t="s">
        <v>82</v>
      </c>
      <c r="Q2" s="190">
        <v>2.0</v>
      </c>
      <c r="R2" s="191">
        <f>'1. Расчет проекта'!D18</f>
        <v>0.15</v>
      </c>
      <c r="S2" s="2"/>
      <c r="T2" s="189">
        <f>L2+8</f>
        <v>18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87"/>
      <c r="AH2" s="187"/>
    </row>
    <row r="3" ht="14.25" customHeight="1">
      <c r="A3" s="192" t="s">
        <v>83</v>
      </c>
      <c r="B3" s="193" t="s">
        <v>84</v>
      </c>
      <c r="C3" s="194" t="s">
        <v>85</v>
      </c>
      <c r="D3" s="194" t="s">
        <v>86</v>
      </c>
      <c r="E3" s="195" t="s">
        <v>87</v>
      </c>
      <c r="F3" s="194" t="s">
        <v>88</v>
      </c>
      <c r="G3" s="195" t="s">
        <v>89</v>
      </c>
      <c r="H3" s="194" t="s">
        <v>90</v>
      </c>
      <c r="I3" s="195" t="s">
        <v>91</v>
      </c>
      <c r="J3" s="195" t="s">
        <v>92</v>
      </c>
      <c r="K3" s="195" t="s">
        <v>93</v>
      </c>
      <c r="L3" s="195" t="s">
        <v>94</v>
      </c>
      <c r="M3" s="196"/>
      <c r="N3" s="197" t="s">
        <v>95</v>
      </c>
      <c r="O3" s="2"/>
      <c r="P3" s="198" t="s">
        <v>96</v>
      </c>
      <c r="Q3" s="199" t="s">
        <v>97</v>
      </c>
      <c r="R3" s="200" t="s">
        <v>98</v>
      </c>
      <c r="S3" s="2"/>
      <c r="T3" s="201" t="s">
        <v>99</v>
      </c>
      <c r="U3" s="202" t="s">
        <v>100</v>
      </c>
      <c r="V3" s="203" t="s">
        <v>101</v>
      </c>
      <c r="W3" s="2"/>
      <c r="X3" s="2"/>
      <c r="Y3" s="2"/>
      <c r="Z3" s="2"/>
      <c r="AA3" s="2"/>
      <c r="AB3" s="2"/>
      <c r="AC3" s="2"/>
      <c r="AD3" s="2"/>
      <c r="AE3" s="2"/>
      <c r="AF3" s="187"/>
      <c r="AG3" s="187"/>
      <c r="AH3" s="187"/>
    </row>
    <row r="4" ht="14.25" customHeight="1">
      <c r="A4" s="204">
        <v>0.0</v>
      </c>
      <c r="B4" s="205" t="s">
        <v>102</v>
      </c>
      <c r="C4" s="206" t="str">
        <f>CONCATENATE('1. Расчет проекта'!G22,"; ","Договорная работа, оплата, отчёты")</f>
        <v>РП (Обычный проект); Договорная работа, оплата, отчёты</v>
      </c>
      <c r="D4" s="207" t="str">
        <f>'1. Расчет проекта'!J22*I4</f>
        <v>#REF!</v>
      </c>
      <c r="E4" s="208" t="str">
        <f>'1. Расчет проекта'!H22</f>
        <v>#REF!</v>
      </c>
      <c r="F4" s="209" t="str">
        <f t="shared" ref="F4:F11" si="2">ROUND(D4/(K4*8),2)</f>
        <v>#REF!</v>
      </c>
      <c r="G4" s="209"/>
      <c r="H4" s="210"/>
      <c r="I4" s="211">
        <v>0.2</v>
      </c>
      <c r="J4" s="206" t="s">
        <v>103</v>
      </c>
      <c r="K4" s="212" t="str">
        <f>'1. Расчет проекта'!$E$15</f>
        <v>#REF!</v>
      </c>
      <c r="L4" s="213" t="s">
        <v>104</v>
      </c>
      <c r="M4" s="214"/>
      <c r="N4" s="215">
        <v>1.0</v>
      </c>
      <c r="O4" s="214"/>
      <c r="P4" s="216" t="str">
        <f t="shared" ref="P4:P12" si="3">IFERROR(IF(E4="","",VLOOKUP(E4,'7. Ставки'!$C$3:$E$19,2,0)),"УКАЖИ РОЛЬ")</f>
        <v>УКАЖИ РОЛЬ</v>
      </c>
      <c r="Q4" s="216" t="str">
        <f t="shared" ref="Q4:Q12" si="4">IFERROR(IF(OR(D4=0,P4=0,D4="",P4=""),"",D4*P4),"ПРОВЕРЬ ЦИФРЫ")</f>
        <v>ПРОВЕРЬ ЦИФРЫ</v>
      </c>
      <c r="R4" s="216" t="str">
        <f t="shared" ref="R4:R12" si="5">IF(Q4="","",Q4+(Q4*$R$2))</f>
        <v>#VALUE!</v>
      </c>
      <c r="S4" s="217" t="s">
        <v>105</v>
      </c>
      <c r="T4" s="216" t="str">
        <f t="shared" ref="T4:T60" si="6">IF(OR(D4="",D4=0),"",CONCATENATE(E4," ",C4))</f>
        <v>#REF!</v>
      </c>
      <c r="U4" s="214" t="str">
        <f t="shared" ref="U4:U60" si="7">IF(OR(D4="",D4=0),"",E4)</f>
        <v>#REF!</v>
      </c>
      <c r="V4" s="214" t="str">
        <f t="shared" ref="V4:V60" si="8">IF(OR(D4="",D4=0),"",D4)</f>
        <v>#REF!</v>
      </c>
      <c r="W4" s="2"/>
      <c r="X4" s="2"/>
      <c r="Y4" s="2"/>
      <c r="Z4" s="2"/>
      <c r="AA4" s="2"/>
      <c r="AB4" s="2"/>
      <c r="AC4" s="2"/>
      <c r="AD4" s="2"/>
      <c r="AE4" s="2"/>
      <c r="AF4" s="187"/>
      <c r="AG4" s="187"/>
      <c r="AH4" s="187"/>
    </row>
    <row r="5" ht="14.25" customHeight="1">
      <c r="A5" s="218"/>
      <c r="B5" s="219" t="s">
        <v>106</v>
      </c>
      <c r="C5" s="206" t="str">
        <f>CONCATENATE('1. Расчет проекта'!G22,"; ","Коммуникация daily, weekly, calls etc.")</f>
        <v>РП (Обычный проект); Коммуникация daily, weekly, calls etc.</v>
      </c>
      <c r="D5" s="207" t="str">
        <f>'1. Расчет проекта'!J22*I5</f>
        <v>#REF!</v>
      </c>
      <c r="E5" s="208" t="str">
        <f>'1. Расчет проекта'!H22</f>
        <v>#REF!</v>
      </c>
      <c r="F5" s="209" t="str">
        <f t="shared" si="2"/>
        <v>#REF!</v>
      </c>
      <c r="G5" s="209"/>
      <c r="H5" s="207"/>
      <c r="I5" s="220">
        <v>0.7</v>
      </c>
      <c r="J5" s="206" t="s">
        <v>103</v>
      </c>
      <c r="K5" s="212" t="str">
        <f>'1. Расчет проекта'!$E$15</f>
        <v>#REF!</v>
      </c>
      <c r="L5" s="213" t="s">
        <v>104</v>
      </c>
      <c r="M5" s="214"/>
      <c r="N5" s="221"/>
      <c r="O5" s="214"/>
      <c r="P5" s="216" t="str">
        <f t="shared" si="3"/>
        <v>УКАЖИ РОЛЬ</v>
      </c>
      <c r="Q5" s="216" t="str">
        <f t="shared" si="4"/>
        <v>ПРОВЕРЬ ЦИФРЫ</v>
      </c>
      <c r="R5" s="216" t="str">
        <f t="shared" si="5"/>
        <v>#VALUE!</v>
      </c>
      <c r="S5" s="217" t="s">
        <v>105</v>
      </c>
      <c r="T5" s="216" t="str">
        <f t="shared" si="6"/>
        <v>#REF!</v>
      </c>
      <c r="U5" s="214" t="str">
        <f t="shared" si="7"/>
        <v>#REF!</v>
      </c>
      <c r="V5" s="214" t="str">
        <f t="shared" si="8"/>
        <v>#REF!</v>
      </c>
      <c r="W5" s="2"/>
      <c r="X5" s="2"/>
      <c r="Y5" s="2"/>
      <c r="Z5" s="2"/>
      <c r="AA5" s="2"/>
      <c r="AB5" s="2"/>
      <c r="AC5" s="2"/>
      <c r="AD5" s="2"/>
      <c r="AE5" s="2"/>
      <c r="AF5" s="187"/>
      <c r="AG5" s="187"/>
      <c r="AH5" s="187"/>
    </row>
    <row r="6" ht="14.25" customHeight="1">
      <c r="A6" s="218"/>
      <c r="B6" s="219" t="s">
        <v>107</v>
      </c>
      <c r="C6" s="206" t="str">
        <f>CONCATENATE('1. Расчет проекта'!G22,"; ","Постановка задач, управление командой")</f>
        <v>РП (Обычный проект); Постановка задач, управление командой</v>
      </c>
      <c r="D6" s="207" t="str">
        <f>'1. Расчет проекта'!J22*I6</f>
        <v>#REF!</v>
      </c>
      <c r="E6" s="208" t="str">
        <f>'1. Расчет проекта'!H22</f>
        <v>#REF!</v>
      </c>
      <c r="F6" s="209" t="str">
        <f t="shared" si="2"/>
        <v>#REF!</v>
      </c>
      <c r="G6" s="209"/>
      <c r="H6" s="207"/>
      <c r="I6" s="209">
        <f>1-SUM(I4:I5)</f>
        <v>0.1</v>
      </c>
      <c r="J6" s="206" t="s">
        <v>103</v>
      </c>
      <c r="K6" s="212" t="str">
        <f>'1. Расчет проекта'!$E$15</f>
        <v>#REF!</v>
      </c>
      <c r="L6" s="213" t="s">
        <v>104</v>
      </c>
      <c r="M6" s="214"/>
      <c r="N6" s="222" t="s">
        <v>108</v>
      </c>
      <c r="O6" s="214"/>
      <c r="P6" s="216" t="str">
        <f t="shared" si="3"/>
        <v>УКАЖИ РОЛЬ</v>
      </c>
      <c r="Q6" s="216" t="str">
        <f t="shared" si="4"/>
        <v>ПРОВЕРЬ ЦИФРЫ</v>
      </c>
      <c r="R6" s="216" t="str">
        <f t="shared" si="5"/>
        <v>#VALUE!</v>
      </c>
      <c r="S6" s="217" t="s">
        <v>105</v>
      </c>
      <c r="T6" s="216" t="str">
        <f t="shared" si="6"/>
        <v>#REF!</v>
      </c>
      <c r="U6" s="214" t="str">
        <f t="shared" si="7"/>
        <v>#REF!</v>
      </c>
      <c r="V6" s="214" t="str">
        <f t="shared" si="8"/>
        <v>#REF!</v>
      </c>
      <c r="W6" s="2"/>
      <c r="X6" s="2"/>
      <c r="Y6" s="2"/>
      <c r="Z6" s="2"/>
      <c r="AA6" s="2"/>
      <c r="AB6" s="2"/>
      <c r="AC6" s="2"/>
      <c r="AD6" s="2"/>
      <c r="AE6" s="2"/>
      <c r="AF6" s="187"/>
      <c r="AG6" s="187"/>
      <c r="AH6" s="187"/>
    </row>
    <row r="7" ht="14.25" customHeight="1">
      <c r="A7" s="218"/>
      <c r="B7" s="219" t="s">
        <v>109</v>
      </c>
      <c r="C7" s="223" t="str">
        <f>'1. Расчет проекта'!G23</f>
        <v>Архитектурный надзор</v>
      </c>
      <c r="D7" s="224" t="str">
        <f>'1. Расчет проекта'!J23</f>
        <v>#REF!</v>
      </c>
      <c r="E7" s="225" t="str">
        <f>'1. Расчет проекта'!H23</f>
        <v>#REF!</v>
      </c>
      <c r="F7" s="209" t="str">
        <f t="shared" si="2"/>
        <v>#REF!</v>
      </c>
      <c r="G7" s="209"/>
      <c r="H7" s="207"/>
      <c r="I7" s="223"/>
      <c r="J7" s="223"/>
      <c r="K7" s="212" t="str">
        <f>'1. Расчет проекта'!$E$15</f>
        <v>#REF!</v>
      </c>
      <c r="L7" s="213" t="s">
        <v>104</v>
      </c>
      <c r="M7" s="214"/>
      <c r="N7" s="222" t="s">
        <v>110</v>
      </c>
      <c r="O7" s="214"/>
      <c r="P7" s="216" t="str">
        <f t="shared" si="3"/>
        <v>УКАЖИ РОЛЬ</v>
      </c>
      <c r="Q7" s="216" t="str">
        <f t="shared" si="4"/>
        <v>ПРОВЕРЬ ЦИФРЫ</v>
      </c>
      <c r="R7" s="216" t="str">
        <f t="shared" si="5"/>
        <v>#VALUE!</v>
      </c>
      <c r="S7" s="217" t="s">
        <v>105</v>
      </c>
      <c r="T7" s="216" t="str">
        <f t="shared" si="6"/>
        <v>#REF!</v>
      </c>
      <c r="U7" s="214" t="str">
        <f t="shared" si="7"/>
        <v>#REF!</v>
      </c>
      <c r="V7" s="214" t="str">
        <f t="shared" si="8"/>
        <v>#REF!</v>
      </c>
      <c r="W7" s="2"/>
      <c r="X7" s="2"/>
      <c r="Y7" s="2"/>
      <c r="Z7" s="2"/>
      <c r="AA7" s="2"/>
      <c r="AB7" s="2"/>
      <c r="AC7" s="2"/>
      <c r="AD7" s="2"/>
      <c r="AE7" s="2"/>
      <c r="AF7" s="187"/>
      <c r="AG7" s="187"/>
      <c r="AH7" s="187"/>
    </row>
    <row r="8" ht="14.25" customHeight="1">
      <c r="A8" s="218"/>
      <c r="B8" s="219" t="s">
        <v>111</v>
      </c>
      <c r="C8" s="226" t="str">
        <f>CONCATENATE('1. Расчет проекта'!G24,"; ","Код-ревью и разработка")</f>
        <v>Тимлидерство; Код-ревью и разработка</v>
      </c>
      <c r="D8" s="224" t="str">
        <f>'1. Расчет проекта'!J24*I8</f>
        <v>#REF!</v>
      </c>
      <c r="E8" s="227" t="str">
        <f>'1. Расчет проекта'!H24</f>
        <v>#REF!</v>
      </c>
      <c r="F8" s="209" t="str">
        <f t="shared" si="2"/>
        <v>#REF!</v>
      </c>
      <c r="G8" s="209"/>
      <c r="H8" s="207"/>
      <c r="I8" s="220">
        <v>0.5</v>
      </c>
      <c r="J8" s="206" t="s">
        <v>103</v>
      </c>
      <c r="K8" s="212" t="str">
        <f>'1. Расчет проекта'!$E$15</f>
        <v>#REF!</v>
      </c>
      <c r="L8" s="213" t="s">
        <v>104</v>
      </c>
      <c r="M8" s="214"/>
      <c r="N8" s="222" t="s">
        <v>112</v>
      </c>
      <c r="O8" s="214"/>
      <c r="P8" s="216" t="str">
        <f t="shared" si="3"/>
        <v>УКАЖИ РОЛЬ</v>
      </c>
      <c r="Q8" s="216" t="str">
        <f t="shared" si="4"/>
        <v>ПРОВЕРЬ ЦИФРЫ</v>
      </c>
      <c r="R8" s="216" t="str">
        <f t="shared" si="5"/>
        <v>#VALUE!</v>
      </c>
      <c r="S8" s="217" t="s">
        <v>105</v>
      </c>
      <c r="T8" s="216" t="str">
        <f t="shared" si="6"/>
        <v>#REF!</v>
      </c>
      <c r="U8" s="214" t="str">
        <f t="shared" si="7"/>
        <v>#REF!</v>
      </c>
      <c r="V8" s="214" t="str">
        <f t="shared" si="8"/>
        <v>#REF!</v>
      </c>
      <c r="W8" s="2"/>
      <c r="X8" s="2"/>
      <c r="Y8" s="2"/>
      <c r="Z8" s="2"/>
      <c r="AA8" s="2"/>
      <c r="AB8" s="2"/>
      <c r="AC8" s="2"/>
      <c r="AD8" s="2"/>
      <c r="AE8" s="2"/>
      <c r="AF8" s="187"/>
      <c r="AG8" s="187"/>
      <c r="AH8" s="187"/>
    </row>
    <row r="9" ht="14.25" customHeight="1">
      <c r="A9" s="218"/>
      <c r="B9" s="228"/>
      <c r="C9" s="226" t="str">
        <f>CONCATENATE('1. Расчет проекта'!G24,"; ","Декомпозиция задач, постановка задач, управление командой")</f>
        <v>Тимлидерство; Декомпозиция задач, постановка задач, управление командой</v>
      </c>
      <c r="D9" s="224" t="str">
        <f>'1. Расчет проекта'!J24*I9</f>
        <v>#REF!</v>
      </c>
      <c r="E9" s="229" t="s">
        <v>113</v>
      </c>
      <c r="F9" s="209" t="str">
        <f t="shared" si="2"/>
        <v>#REF!</v>
      </c>
      <c r="G9" s="209"/>
      <c r="H9" s="207"/>
      <c r="I9" s="209">
        <f>1-SUM(I8)</f>
        <v>0.5</v>
      </c>
      <c r="J9" s="206" t="s">
        <v>103</v>
      </c>
      <c r="K9" s="212" t="str">
        <f>'1. Расчет проекта'!$E$15</f>
        <v>#REF!</v>
      </c>
      <c r="L9" s="213" t="s">
        <v>104</v>
      </c>
      <c r="M9" s="214"/>
      <c r="N9" s="230"/>
      <c r="O9" s="214"/>
      <c r="P9" s="216" t="str">
        <f t="shared" si="3"/>
        <v>УКАЖИ РОЛЬ</v>
      </c>
      <c r="Q9" s="216" t="str">
        <f t="shared" si="4"/>
        <v>ПРОВЕРЬ ЦИФРЫ</v>
      </c>
      <c r="R9" s="216" t="str">
        <f t="shared" si="5"/>
        <v>#VALUE!</v>
      </c>
      <c r="S9" s="217"/>
      <c r="T9" s="216" t="str">
        <f t="shared" si="6"/>
        <v>#REF!</v>
      </c>
      <c r="U9" s="214" t="str">
        <f t="shared" si="7"/>
        <v>#REF!</v>
      </c>
      <c r="V9" s="214" t="str">
        <f t="shared" si="8"/>
        <v>#REF!</v>
      </c>
      <c r="W9" s="2"/>
      <c r="X9" s="2"/>
      <c r="Y9" s="2"/>
      <c r="Z9" s="2"/>
      <c r="AA9" s="2"/>
      <c r="AB9" s="2"/>
      <c r="AC9" s="2"/>
      <c r="AD9" s="2"/>
      <c r="AE9" s="2"/>
      <c r="AF9" s="187"/>
      <c r="AG9" s="187"/>
      <c r="AH9" s="187"/>
    </row>
    <row r="10" ht="14.25" customHeight="1">
      <c r="A10" s="218"/>
      <c r="B10" s="228"/>
      <c r="C10" s="226" t="str">
        <f>CONCATENATE('1. Расчет проекта'!G25,"; ","Код-ревью и разработка")</f>
        <v>ИИ Лидерство; Код-ревью и разработка</v>
      </c>
      <c r="D10" s="224" t="str">
        <f>'1. Расчет проекта'!J25*I10</f>
        <v>#REF!</v>
      </c>
      <c r="E10" s="229" t="s">
        <v>114</v>
      </c>
      <c r="F10" s="209" t="str">
        <f t="shared" si="2"/>
        <v>#REF!</v>
      </c>
      <c r="G10" s="209"/>
      <c r="H10" s="207"/>
      <c r="I10" s="220">
        <v>0.5</v>
      </c>
      <c r="J10" s="206" t="s">
        <v>103</v>
      </c>
      <c r="K10" s="212" t="str">
        <f>'1. Расчет проекта'!$E$15</f>
        <v>#REF!</v>
      </c>
      <c r="L10" s="213" t="s">
        <v>104</v>
      </c>
      <c r="M10" s="214"/>
      <c r="N10" s="230"/>
      <c r="O10" s="214"/>
      <c r="P10" s="216" t="str">
        <f t="shared" si="3"/>
        <v>УКАЖИ РОЛЬ</v>
      </c>
      <c r="Q10" s="216" t="str">
        <f t="shared" si="4"/>
        <v>ПРОВЕРЬ ЦИФРЫ</v>
      </c>
      <c r="R10" s="216" t="str">
        <f t="shared" si="5"/>
        <v>#VALUE!</v>
      </c>
      <c r="S10" s="217"/>
      <c r="T10" s="216" t="str">
        <f t="shared" si="6"/>
        <v>#REF!</v>
      </c>
      <c r="U10" s="214" t="str">
        <f t="shared" si="7"/>
        <v>#REF!</v>
      </c>
      <c r="V10" s="214" t="str">
        <f t="shared" si="8"/>
        <v>#REF!</v>
      </c>
      <c r="W10" s="2"/>
      <c r="X10" s="2"/>
      <c r="Y10" s="2"/>
      <c r="Z10" s="2"/>
      <c r="AA10" s="2"/>
      <c r="AB10" s="2"/>
      <c r="AC10" s="2"/>
      <c r="AD10" s="2"/>
      <c r="AE10" s="2"/>
      <c r="AF10" s="187"/>
      <c r="AG10" s="187"/>
      <c r="AH10" s="187"/>
    </row>
    <row r="11" ht="14.25" customHeight="1">
      <c r="A11" s="218"/>
      <c r="B11" s="228"/>
      <c r="C11" s="226" t="str">
        <f>CONCATENATE('1. Расчет проекта'!G25,"; ","Декомпозиция задач, постановка задач, управление командой")</f>
        <v>ИИ Лидерство; Декомпозиция задач, постановка задач, управление командой</v>
      </c>
      <c r="D11" s="224" t="str">
        <f>'1. Расчет проекта'!J25*I11</f>
        <v>#REF!</v>
      </c>
      <c r="E11" s="229" t="s">
        <v>114</v>
      </c>
      <c r="F11" s="209" t="str">
        <f t="shared" si="2"/>
        <v>#REF!</v>
      </c>
      <c r="G11" s="209"/>
      <c r="H11" s="207"/>
      <c r="I11" s="209">
        <f>1-SUM(I10)</f>
        <v>0.5</v>
      </c>
      <c r="J11" s="206" t="s">
        <v>103</v>
      </c>
      <c r="K11" s="212" t="str">
        <f>'1. Расчет проекта'!$E$15</f>
        <v>#REF!</v>
      </c>
      <c r="L11" s="213" t="s">
        <v>104</v>
      </c>
      <c r="M11" s="214"/>
      <c r="N11" s="230"/>
      <c r="O11" s="214"/>
      <c r="P11" s="216" t="str">
        <f t="shared" si="3"/>
        <v>УКАЖИ РОЛЬ</v>
      </c>
      <c r="Q11" s="216" t="str">
        <f t="shared" si="4"/>
        <v>ПРОВЕРЬ ЦИФРЫ</v>
      </c>
      <c r="R11" s="216" t="str">
        <f t="shared" si="5"/>
        <v>#VALUE!</v>
      </c>
      <c r="S11" s="217"/>
      <c r="T11" s="216" t="str">
        <f t="shared" si="6"/>
        <v>#REF!</v>
      </c>
      <c r="U11" s="214" t="str">
        <f t="shared" si="7"/>
        <v>#REF!</v>
      </c>
      <c r="V11" s="214" t="str">
        <f t="shared" si="8"/>
        <v>#REF!</v>
      </c>
      <c r="W11" s="2"/>
      <c r="X11" s="2"/>
      <c r="Y11" s="2"/>
      <c r="Z11" s="2"/>
      <c r="AA11" s="2"/>
      <c r="AB11" s="2"/>
      <c r="AC11" s="2"/>
      <c r="AD11" s="2"/>
      <c r="AE11" s="2"/>
      <c r="AF11" s="187"/>
      <c r="AG11" s="187"/>
      <c r="AH11" s="187"/>
    </row>
    <row r="12" ht="14.25" customHeight="1">
      <c r="A12" s="218"/>
      <c r="B12" s="228"/>
      <c r="C12" s="226"/>
      <c r="D12" s="224"/>
      <c r="E12" s="229"/>
      <c r="F12" s="209"/>
      <c r="G12" s="209"/>
      <c r="H12" s="207"/>
      <c r="I12" s="209"/>
      <c r="J12" s="206"/>
      <c r="K12" s="212" t="str">
        <f>IFERROR(IF(OR(F12=0,D12=0,F12="",D12=""),"",ROUNDUP('2. Расчет трудозатрат'!$D12/8*$N$4/'2. Расчет трудозатрат'!$F12,0)),"ПРОВЕРЬ ЦИФРЫ")</f>
        <v/>
      </c>
      <c r="L12" s="213" t="s">
        <v>104</v>
      </c>
      <c r="M12" s="214"/>
      <c r="N12" s="230"/>
      <c r="O12" s="214"/>
      <c r="P12" s="216" t="str">
        <f t="shared" si="3"/>
        <v/>
      </c>
      <c r="Q12" s="216" t="str">
        <f t="shared" si="4"/>
        <v/>
      </c>
      <c r="R12" s="216" t="str">
        <f t="shared" si="5"/>
        <v/>
      </c>
      <c r="S12" s="217" t="s">
        <v>105</v>
      </c>
      <c r="T12" s="216" t="str">
        <f t="shared" si="6"/>
        <v/>
      </c>
      <c r="U12" s="214" t="str">
        <f t="shared" si="7"/>
        <v/>
      </c>
      <c r="V12" s="214" t="str">
        <f t="shared" si="8"/>
        <v/>
      </c>
      <c r="W12" s="2"/>
      <c r="X12" s="2"/>
      <c r="Y12" s="2"/>
      <c r="Z12" s="2"/>
      <c r="AA12" s="2"/>
      <c r="AB12" s="2"/>
      <c r="AC12" s="2"/>
      <c r="AD12" s="2"/>
      <c r="AE12" s="2"/>
      <c r="AF12" s="187"/>
      <c r="AG12" s="187"/>
      <c r="AH12" s="187"/>
    </row>
    <row r="13" ht="14.25" customHeight="1">
      <c r="A13" s="231"/>
      <c r="B13" s="232"/>
      <c r="C13" s="231"/>
      <c r="D13" s="233"/>
      <c r="E13" s="234"/>
      <c r="F13" s="233"/>
      <c r="G13" s="233"/>
      <c r="H13" s="233"/>
      <c r="I13" s="235"/>
      <c r="J13" s="236"/>
      <c r="K13" s="237"/>
      <c r="L13" s="238"/>
      <c r="M13" s="214"/>
      <c r="N13" s="230"/>
      <c r="O13" s="214"/>
      <c r="P13" s="216"/>
      <c r="Q13" s="216">
        <f t="shared" ref="Q13:R13" si="9">SUM(Q4:Q12)</f>
        <v>0</v>
      </c>
      <c r="R13" s="216" t="str">
        <f t="shared" si="9"/>
        <v>#VALUE!</v>
      </c>
      <c r="S13" s="217" t="s">
        <v>105</v>
      </c>
      <c r="T13" s="216" t="str">
        <f t="shared" si="6"/>
        <v/>
      </c>
      <c r="U13" s="214" t="str">
        <f t="shared" si="7"/>
        <v/>
      </c>
      <c r="V13" s="214" t="str">
        <f t="shared" si="8"/>
        <v/>
      </c>
      <c r="W13" s="2"/>
      <c r="X13" s="2"/>
      <c r="Y13" s="2"/>
      <c r="Z13" s="2"/>
      <c r="AA13" s="2"/>
      <c r="AB13" s="2"/>
      <c r="AC13" s="2"/>
      <c r="AD13" s="2"/>
      <c r="AE13" s="2"/>
      <c r="AF13" s="187"/>
      <c r="AG13" s="187"/>
      <c r="AH13" s="187"/>
    </row>
    <row r="14" ht="14.25" customHeight="1">
      <c r="A14" s="239">
        <v>1.0</v>
      </c>
      <c r="B14" s="240" t="s">
        <v>115</v>
      </c>
      <c r="C14" s="239"/>
      <c r="D14" s="241"/>
      <c r="E14" s="242"/>
      <c r="F14" s="241"/>
      <c r="G14" s="241"/>
      <c r="H14" s="241"/>
      <c r="I14" s="243"/>
      <c r="J14" s="243"/>
      <c r="K14" s="244" t="str">
        <f>IFERROR(IF(OR(F14=0,D14=0,F14="",D14=""),"",ROUNDUP('2. Расчет трудозатрат'!$D14/8*$N$4/'2. Расчет трудозатрат'!$F14,0)),"ПРОВЕРЬ ЦИФРЫ")</f>
        <v/>
      </c>
      <c r="L14" s="245"/>
      <c r="M14" s="214"/>
      <c r="N14" s="230"/>
      <c r="O14" s="214"/>
      <c r="P14" s="216" t="str">
        <f t="shared" ref="P14:P60" si="10">IFERROR(IF(E14="","",VLOOKUP(E14,'7. Ставки'!$C$3:$E$19,2,0)),"УКАЖИ РОЛЬ")</f>
        <v/>
      </c>
      <c r="Q14" s="216" t="str">
        <f t="shared" ref="Q14:Q60" si="11">IFERROR(IF(OR(D14=0,P14=0,D14="",P14=""),"",D14*P14),"ПРОВЕРЬ ЦИФРЫ")</f>
        <v/>
      </c>
      <c r="R14" s="216" t="str">
        <f t="shared" ref="R14:R60" si="12">IF(Q14="","",Q14+(Q14*$R$2))</f>
        <v/>
      </c>
      <c r="S14" s="217" t="s">
        <v>105</v>
      </c>
      <c r="T14" s="216" t="str">
        <f t="shared" si="6"/>
        <v/>
      </c>
      <c r="U14" s="214" t="str">
        <f t="shared" si="7"/>
        <v/>
      </c>
      <c r="V14" s="214" t="str">
        <f t="shared" si="8"/>
        <v/>
      </c>
      <c r="W14" s="2"/>
      <c r="X14" s="2"/>
      <c r="Y14" s="2"/>
      <c r="Z14" s="2"/>
      <c r="AA14" s="2"/>
      <c r="AB14" s="2"/>
      <c r="AC14" s="2"/>
      <c r="AD14" s="2"/>
      <c r="AE14" s="2"/>
      <c r="AF14" s="187"/>
      <c r="AG14" s="187"/>
      <c r="AH14" s="187"/>
    </row>
    <row r="15" ht="32.25" customHeight="1">
      <c r="A15" s="246">
        <v>2.0</v>
      </c>
      <c r="B15" s="232" t="s">
        <v>116</v>
      </c>
      <c r="C15" s="247"/>
      <c r="D15" s="233"/>
      <c r="E15" s="248"/>
      <c r="F15" s="249"/>
      <c r="G15" s="233"/>
      <c r="H15" s="233"/>
      <c r="I15" s="250"/>
      <c r="J15" s="250"/>
      <c r="K15" s="237"/>
      <c r="L15" s="238"/>
      <c r="M15" s="214"/>
      <c r="N15" s="230"/>
      <c r="O15" s="214"/>
      <c r="P15" s="216" t="str">
        <f t="shared" si="10"/>
        <v/>
      </c>
      <c r="Q15" s="216" t="str">
        <f t="shared" si="11"/>
        <v/>
      </c>
      <c r="R15" s="216" t="str">
        <f t="shared" si="12"/>
        <v/>
      </c>
      <c r="S15" s="217"/>
      <c r="T15" s="216" t="str">
        <f t="shared" si="6"/>
        <v/>
      </c>
      <c r="U15" s="214" t="str">
        <f t="shared" si="7"/>
        <v/>
      </c>
      <c r="V15" s="214" t="str">
        <f t="shared" si="8"/>
        <v/>
      </c>
      <c r="W15" s="2"/>
      <c r="X15" s="2"/>
      <c r="Y15" s="2"/>
      <c r="Z15" s="2"/>
      <c r="AA15" s="2"/>
      <c r="AB15" s="2"/>
      <c r="AC15" s="2"/>
      <c r="AD15" s="2"/>
      <c r="AE15" s="2"/>
      <c r="AF15" s="187"/>
      <c r="AG15" s="187"/>
      <c r="AH15" s="187"/>
    </row>
    <row r="16" ht="14.25" customHeight="1">
      <c r="A16" s="251"/>
      <c r="B16" s="252"/>
      <c r="C16" s="253" t="s">
        <v>117</v>
      </c>
      <c r="D16" s="254">
        <v>24.0</v>
      </c>
      <c r="E16" s="255" t="s">
        <v>118</v>
      </c>
      <c r="F16" s="256">
        <v>1.0</v>
      </c>
      <c r="G16" s="257">
        <v>1.0</v>
      </c>
      <c r="H16" s="257">
        <v>1.0</v>
      </c>
      <c r="I16" s="258" t="s">
        <v>119</v>
      </c>
      <c r="J16" s="258" t="s">
        <v>120</v>
      </c>
      <c r="K16" s="244">
        <f>IFERROR(IF(OR(F16=0,D16=0,F16="",D16=""),"",ROUNDUP('2. Расчет трудозатрат'!$D16/8*$N$4/'2. Расчет трудозатрат'!$F16,0)),"ПРОВЕРЬ ЦИФРЫ")</f>
        <v>3</v>
      </c>
      <c r="L16" s="245" t="s">
        <v>104</v>
      </c>
      <c r="M16" s="214"/>
      <c r="N16" s="230"/>
      <c r="O16" s="214"/>
      <c r="P16" s="216" t="str">
        <f t="shared" si="10"/>
        <v>УКАЖИ РОЛЬ</v>
      </c>
      <c r="Q16" s="216" t="str">
        <f t="shared" si="11"/>
        <v>ПРОВЕРЬ ЦИФРЫ</v>
      </c>
      <c r="R16" s="216" t="str">
        <f t="shared" si="12"/>
        <v>#VALUE!</v>
      </c>
      <c r="S16" s="217" t="s">
        <v>105</v>
      </c>
      <c r="T16" s="216" t="str">
        <f t="shared" si="6"/>
        <v>Analytics Busines Уточнение требований, интервью со стейкхолдерами</v>
      </c>
      <c r="U16" s="214" t="str">
        <f t="shared" si="7"/>
        <v>Analytics Busines</v>
      </c>
      <c r="V16" s="214">
        <f t="shared" si="8"/>
        <v>24</v>
      </c>
      <c r="W16" s="2"/>
      <c r="X16" s="2"/>
      <c r="Y16" s="2"/>
      <c r="Z16" s="2"/>
      <c r="AA16" s="2"/>
      <c r="AB16" s="2"/>
      <c r="AC16" s="2"/>
      <c r="AD16" s="2"/>
      <c r="AE16" s="2"/>
      <c r="AF16" s="187"/>
      <c r="AG16" s="187"/>
      <c r="AH16" s="187"/>
    </row>
    <row r="17" ht="14.25" customHeight="1">
      <c r="A17" s="259"/>
      <c r="B17" s="260"/>
      <c r="C17" s="261" t="s">
        <v>121</v>
      </c>
      <c r="D17" s="262">
        <v>4.0</v>
      </c>
      <c r="E17" s="263" t="s">
        <v>17</v>
      </c>
      <c r="F17" s="264">
        <v>1.0</v>
      </c>
      <c r="G17" s="265">
        <v>1.0</v>
      </c>
      <c r="H17" s="265">
        <v>1.0</v>
      </c>
      <c r="I17" s="266"/>
      <c r="J17" s="267" t="s">
        <v>122</v>
      </c>
      <c r="K17" s="237">
        <f>IFERROR(IF(OR(F17=0,D17=0,F17="",D17=""),"",ROUNDUP('2. Расчет трудозатрат'!$D17/8*$N$4/'2. Расчет трудозатрат'!$F17,0)),"ПРОВЕРЬ ЦИФРЫ")</f>
        <v>1</v>
      </c>
      <c r="L17" s="238" t="s">
        <v>104</v>
      </c>
      <c r="M17" s="214"/>
      <c r="N17" s="230"/>
      <c r="O17" s="214"/>
      <c r="P17" s="216" t="str">
        <f t="shared" si="10"/>
        <v>УКАЖИ РОЛЬ</v>
      </c>
      <c r="Q17" s="216" t="str">
        <f t="shared" si="11"/>
        <v>ПРОВЕРЬ ЦИФРЫ</v>
      </c>
      <c r="R17" s="216" t="str">
        <f t="shared" si="12"/>
        <v>#VALUE!</v>
      </c>
      <c r="S17" s="217" t="s">
        <v>105</v>
      </c>
      <c r="T17" s="216" t="str">
        <f t="shared" si="6"/>
        <v>Architect Проектирование высокоуровневой архитектуры</v>
      </c>
      <c r="U17" s="214" t="str">
        <f t="shared" si="7"/>
        <v>Architect</v>
      </c>
      <c r="V17" s="214">
        <f t="shared" si="8"/>
        <v>4</v>
      </c>
      <c r="W17" s="2"/>
      <c r="X17" s="2"/>
      <c r="Y17" s="2"/>
      <c r="Z17" s="2"/>
      <c r="AA17" s="2"/>
      <c r="AB17" s="2"/>
      <c r="AC17" s="2"/>
      <c r="AD17" s="2"/>
      <c r="AE17" s="2"/>
      <c r="AF17" s="187"/>
      <c r="AG17" s="187"/>
      <c r="AH17" s="187"/>
    </row>
    <row r="18" ht="14.25" customHeight="1">
      <c r="A18" s="251"/>
      <c r="B18" s="252"/>
      <c r="C18" s="253" t="s">
        <v>123</v>
      </c>
      <c r="D18" s="254">
        <v>8.0</v>
      </c>
      <c r="E18" s="255" t="s">
        <v>124</v>
      </c>
      <c r="F18" s="256">
        <v>1.0</v>
      </c>
      <c r="G18" s="257">
        <v>1.0</v>
      </c>
      <c r="H18" s="257">
        <v>1.0</v>
      </c>
      <c r="I18" s="268"/>
      <c r="J18" s="258" t="s">
        <v>125</v>
      </c>
      <c r="K18" s="244">
        <f>IFERROR(IF(OR(F18=0,D18=0,F18="",D18=""),"",ROUNDUP('2. Расчет трудозатрат'!$D18/8*$N$4/'2. Расчет трудозатрат'!$F18,0)),"ПРОВЕРЬ ЦИФРЫ")</f>
        <v>1</v>
      </c>
      <c r="L18" s="245" t="s">
        <v>104</v>
      </c>
      <c r="M18" s="214"/>
      <c r="N18" s="230"/>
      <c r="O18" s="214"/>
      <c r="P18" s="216" t="str">
        <f t="shared" si="10"/>
        <v>УКАЖИ РОЛЬ</v>
      </c>
      <c r="Q18" s="216" t="str">
        <f t="shared" si="11"/>
        <v>ПРОВЕРЬ ЦИФРЫ</v>
      </c>
      <c r="R18" s="216" t="str">
        <f t="shared" si="12"/>
        <v>#VALUE!</v>
      </c>
      <c r="S18" s="217" t="s">
        <v>105</v>
      </c>
      <c r="T18" s="216" t="str">
        <f t="shared" si="6"/>
        <v>Development Back Проектирование API-контрактов между сервисами</v>
      </c>
      <c r="U18" s="214" t="str">
        <f t="shared" si="7"/>
        <v>Development Back</v>
      </c>
      <c r="V18" s="214">
        <f t="shared" si="8"/>
        <v>8</v>
      </c>
      <c r="W18" s="2"/>
      <c r="X18" s="2"/>
      <c r="Y18" s="2"/>
      <c r="Z18" s="2"/>
      <c r="AA18" s="2"/>
      <c r="AB18" s="2"/>
      <c r="AC18" s="2"/>
      <c r="AD18" s="2"/>
      <c r="AE18" s="2"/>
      <c r="AF18" s="187"/>
      <c r="AG18" s="187"/>
      <c r="AH18" s="187"/>
    </row>
    <row r="19" ht="14.25" customHeight="1">
      <c r="A19" s="259"/>
      <c r="B19" s="260"/>
      <c r="C19" s="261" t="s">
        <v>126</v>
      </c>
      <c r="D19" s="262">
        <v>4.0</v>
      </c>
      <c r="E19" s="263" t="s">
        <v>127</v>
      </c>
      <c r="F19" s="264">
        <v>1.0</v>
      </c>
      <c r="G19" s="265">
        <v>1.0</v>
      </c>
      <c r="H19" s="265">
        <v>1.0</v>
      </c>
      <c r="I19" s="266"/>
      <c r="J19" s="267" t="s">
        <v>128</v>
      </c>
      <c r="K19" s="237">
        <f>IFERROR(IF(OR(F19=0,D19=0,F19="",D19=""),"",ROUNDUP('2. Расчет трудозатрат'!$D19/8*$N$4/'2. Расчет трудозатрат'!$F19,0)),"ПРОВЕРЬ ЦИФРЫ")</f>
        <v>1</v>
      </c>
      <c r="L19" s="238" t="s">
        <v>104</v>
      </c>
      <c r="M19" s="214"/>
      <c r="N19" s="230"/>
      <c r="O19" s="214"/>
      <c r="P19" s="216" t="str">
        <f t="shared" si="10"/>
        <v>УКАЖИ РОЛЬ</v>
      </c>
      <c r="Q19" s="216" t="str">
        <f t="shared" si="11"/>
        <v>ПРОВЕРЬ ЦИФРЫ</v>
      </c>
      <c r="R19" s="216" t="str">
        <f t="shared" si="12"/>
        <v>#VALUE!</v>
      </c>
      <c r="S19" s="217" t="s">
        <v>105</v>
      </c>
      <c r="T19" s="216" t="str">
        <f t="shared" si="6"/>
        <v>DevOps Проектирование схемы хранения логов и метрик SLA</v>
      </c>
      <c r="U19" s="214" t="str">
        <f t="shared" si="7"/>
        <v>DevOps</v>
      </c>
      <c r="V19" s="214">
        <f t="shared" si="8"/>
        <v>4</v>
      </c>
      <c r="W19" s="2"/>
      <c r="X19" s="2"/>
      <c r="Y19" s="2"/>
      <c r="Z19" s="2"/>
      <c r="AA19" s="2"/>
      <c r="AB19" s="2"/>
      <c r="AC19" s="2"/>
      <c r="AD19" s="2"/>
      <c r="AE19" s="2"/>
      <c r="AF19" s="187"/>
      <c r="AG19" s="187"/>
      <c r="AH19" s="187"/>
    </row>
    <row r="20" ht="14.25" customHeight="1">
      <c r="A20" s="251"/>
      <c r="B20" s="252"/>
      <c r="C20" s="253" t="s">
        <v>129</v>
      </c>
      <c r="D20" s="254">
        <v>16.0</v>
      </c>
      <c r="E20" s="255" t="s">
        <v>130</v>
      </c>
      <c r="F20" s="256">
        <v>1.0</v>
      </c>
      <c r="G20" s="257">
        <v>1.0</v>
      </c>
      <c r="H20" s="257">
        <v>1.0</v>
      </c>
      <c r="I20" s="258" t="s">
        <v>131</v>
      </c>
      <c r="J20" s="258" t="s">
        <v>132</v>
      </c>
      <c r="K20" s="244">
        <f>IFERROR(IF(OR(F20=0,D20=0,F20="",D20=""),"",ROUNDUP('2. Расчет трудозатрат'!$D20/8*$N$4/'2. Расчет трудозатрат'!$F20,0)),"ПРОВЕРЬ ЦИФРЫ")</f>
        <v>2</v>
      </c>
      <c r="L20" s="245" t="s">
        <v>104</v>
      </c>
      <c r="M20" s="214"/>
      <c r="N20" s="230"/>
      <c r="O20" s="214"/>
      <c r="P20" s="216" t="str">
        <f t="shared" si="10"/>
        <v>УКАЖИ РОЛЬ</v>
      </c>
      <c r="Q20" s="216" t="str">
        <f t="shared" si="11"/>
        <v>ПРОВЕРЬ ЦИФРЫ</v>
      </c>
      <c r="R20" s="216" t="str">
        <f t="shared" si="12"/>
        <v>#VALUE!</v>
      </c>
      <c r="S20" s="217" t="s">
        <v>105</v>
      </c>
      <c r="T20" s="216" t="str">
        <f t="shared" si="6"/>
        <v>DS/Ai/ML Проектирование пайплайна индексации Confluence</v>
      </c>
      <c r="U20" s="214" t="str">
        <f t="shared" si="7"/>
        <v>DS/Ai/ML</v>
      </c>
      <c r="V20" s="214">
        <f t="shared" si="8"/>
        <v>16</v>
      </c>
      <c r="W20" s="2"/>
      <c r="X20" s="2"/>
      <c r="Y20" s="2"/>
      <c r="Z20" s="2"/>
      <c r="AA20" s="2"/>
      <c r="AB20" s="2"/>
      <c r="AC20" s="2"/>
      <c r="AD20" s="2"/>
      <c r="AE20" s="2"/>
      <c r="AF20" s="187"/>
      <c r="AG20" s="187"/>
      <c r="AH20" s="187"/>
    </row>
    <row r="21" ht="14.25" customHeight="1">
      <c r="A21" s="246">
        <v>3.0</v>
      </c>
      <c r="B21" s="232" t="s">
        <v>133</v>
      </c>
      <c r="C21" s="247"/>
      <c r="D21" s="233"/>
      <c r="E21" s="234"/>
      <c r="F21" s="269"/>
      <c r="G21" s="233"/>
      <c r="H21" s="233"/>
      <c r="I21" s="270"/>
      <c r="J21" s="271"/>
      <c r="K21" s="237"/>
      <c r="L21" s="238"/>
      <c r="M21" s="214"/>
      <c r="N21" s="230"/>
      <c r="O21" s="214"/>
      <c r="P21" s="216" t="str">
        <f t="shared" si="10"/>
        <v/>
      </c>
      <c r="Q21" s="216" t="str">
        <f t="shared" si="11"/>
        <v/>
      </c>
      <c r="R21" s="216" t="str">
        <f t="shared" si="12"/>
        <v/>
      </c>
      <c r="S21" s="217"/>
      <c r="T21" s="216" t="str">
        <f t="shared" si="6"/>
        <v/>
      </c>
      <c r="U21" s="214" t="str">
        <f t="shared" si="7"/>
        <v/>
      </c>
      <c r="V21" s="214" t="str">
        <f t="shared" si="8"/>
        <v/>
      </c>
      <c r="W21" s="2"/>
      <c r="X21" s="2"/>
      <c r="Y21" s="2"/>
      <c r="Z21" s="2"/>
      <c r="AA21" s="2"/>
      <c r="AB21" s="2"/>
      <c r="AC21" s="2"/>
      <c r="AD21" s="2"/>
      <c r="AE21" s="2"/>
      <c r="AF21" s="187"/>
      <c r="AG21" s="187"/>
      <c r="AH21" s="187"/>
    </row>
    <row r="22" ht="14.25" customHeight="1">
      <c r="A22" s="251"/>
      <c r="B22" s="252"/>
      <c r="C22" s="253" t="s">
        <v>134</v>
      </c>
      <c r="D22" s="254">
        <v>16.0</v>
      </c>
      <c r="E22" s="272" t="s">
        <v>127</v>
      </c>
      <c r="F22" s="256">
        <v>1.0</v>
      </c>
      <c r="G22" s="257">
        <v>6.0</v>
      </c>
      <c r="H22" s="257">
        <v>2.0</v>
      </c>
      <c r="I22" s="258" t="s">
        <v>135</v>
      </c>
      <c r="J22" s="258" t="s">
        <v>136</v>
      </c>
      <c r="K22" s="244">
        <f>IFERROR(IF(OR(F22=0,D22=0,F22="",D22=""),"",ROUNDUP('2. Расчет трудозатрат'!$D22/8*$N$4/'2. Расчет трудозатрат'!$F22,0)),"ПРОВЕРЬ ЦИФРЫ")</f>
        <v>2</v>
      </c>
      <c r="L22" s="245" t="s">
        <v>104</v>
      </c>
      <c r="M22" s="214"/>
      <c r="N22" s="230"/>
      <c r="O22" s="214"/>
      <c r="P22" s="216" t="str">
        <f t="shared" si="10"/>
        <v>УКАЖИ РОЛЬ</v>
      </c>
      <c r="Q22" s="216" t="str">
        <f t="shared" si="11"/>
        <v>ПРОВЕРЬ ЦИФРЫ</v>
      </c>
      <c r="R22" s="216" t="str">
        <f t="shared" si="12"/>
        <v>#VALUE!</v>
      </c>
      <c r="S22" s="217" t="s">
        <v>105</v>
      </c>
      <c r="T22" s="216" t="str">
        <f t="shared" si="6"/>
        <v>DevOps Настройка Docker Swarm и связки Foundation Models</v>
      </c>
      <c r="U22" s="214" t="str">
        <f t="shared" si="7"/>
        <v>DevOps</v>
      </c>
      <c r="V22" s="214">
        <f t="shared" si="8"/>
        <v>16</v>
      </c>
      <c r="W22" s="2"/>
      <c r="X22" s="2"/>
      <c r="Y22" s="2"/>
      <c r="Z22" s="2"/>
      <c r="AA22" s="2"/>
      <c r="AB22" s="2"/>
      <c r="AC22" s="2"/>
      <c r="AD22" s="2"/>
      <c r="AE22" s="2"/>
      <c r="AF22" s="187"/>
      <c r="AG22" s="187"/>
      <c r="AH22" s="187"/>
    </row>
    <row r="23" ht="14.25" customHeight="1">
      <c r="A23" s="259"/>
      <c r="B23" s="273"/>
      <c r="C23" s="261" t="s">
        <v>137</v>
      </c>
      <c r="D23" s="262">
        <v>4.0</v>
      </c>
      <c r="E23" s="271" t="s">
        <v>127</v>
      </c>
      <c r="F23" s="264">
        <v>1.0</v>
      </c>
      <c r="G23" s="265">
        <v>7.0</v>
      </c>
      <c r="H23" s="265">
        <v>2.0</v>
      </c>
      <c r="I23" s="267" t="s">
        <v>138</v>
      </c>
      <c r="J23" s="267" t="s">
        <v>139</v>
      </c>
      <c r="K23" s="237">
        <f>IFERROR(IF(OR(F23=0,D23=0,F23="",D23=""),"",ROUNDUP('2. Расчет трудозатрат'!$D23/8*$N$4/'2. Расчет трудозатрат'!$F23,0)),"ПРОВЕРЬ ЦИФРЫ")</f>
        <v>1</v>
      </c>
      <c r="L23" s="238" t="s">
        <v>104</v>
      </c>
      <c r="M23" s="214"/>
      <c r="N23" s="230"/>
      <c r="O23" s="214"/>
      <c r="P23" s="216" t="str">
        <f t="shared" si="10"/>
        <v>УКАЖИ РОЛЬ</v>
      </c>
      <c r="Q23" s="216" t="str">
        <f t="shared" si="11"/>
        <v>ПРОВЕРЬ ЦИФРЫ</v>
      </c>
      <c r="R23" s="216" t="str">
        <f t="shared" si="12"/>
        <v>#VALUE!</v>
      </c>
      <c r="S23" s="217" t="s">
        <v>105</v>
      </c>
      <c r="T23" s="216" t="str">
        <f t="shared" si="6"/>
        <v>DevOps Настройка CI/CD пайплайнов (GitLab CI / GitHub Actions)</v>
      </c>
      <c r="U23" s="214" t="str">
        <f t="shared" si="7"/>
        <v>DevOps</v>
      </c>
      <c r="V23" s="214">
        <f t="shared" si="8"/>
        <v>4</v>
      </c>
      <c r="W23" s="2"/>
      <c r="X23" s="2"/>
      <c r="Y23" s="2"/>
      <c r="Z23" s="2"/>
      <c r="AA23" s="2"/>
      <c r="AB23" s="2"/>
      <c r="AC23" s="2"/>
      <c r="AD23" s="2"/>
      <c r="AE23" s="2"/>
      <c r="AF23" s="187"/>
      <c r="AG23" s="187"/>
      <c r="AH23" s="187"/>
    </row>
    <row r="24" ht="14.25" customHeight="1">
      <c r="A24" s="251"/>
      <c r="B24" s="274"/>
      <c r="C24" s="253" t="s">
        <v>140</v>
      </c>
      <c r="D24" s="254">
        <v>4.0</v>
      </c>
      <c r="E24" s="272" t="s">
        <v>127</v>
      </c>
      <c r="F24" s="256">
        <v>1.0</v>
      </c>
      <c r="G24" s="257">
        <v>8.0</v>
      </c>
      <c r="H24" s="257">
        <v>2.0</v>
      </c>
      <c r="I24" s="268"/>
      <c r="J24" s="258" t="s">
        <v>141</v>
      </c>
      <c r="K24" s="244">
        <f>IFERROR(IF(OR(F24=0,D24=0,F24="",D24=""),"",ROUNDUP('2. Расчет трудозатрат'!$D24/8*$N$4/'2. Расчет трудозатрат'!$F24,0)),"ПРОВЕРЬ ЦИФРЫ")</f>
        <v>1</v>
      </c>
      <c r="L24" s="245" t="s">
        <v>104</v>
      </c>
      <c r="M24" s="214"/>
      <c r="N24" s="230"/>
      <c r="O24" s="214"/>
      <c r="P24" s="216" t="str">
        <f t="shared" si="10"/>
        <v>УКАЖИ РОЛЬ</v>
      </c>
      <c r="Q24" s="216" t="str">
        <f t="shared" si="11"/>
        <v>ПРОВЕРЬ ЦИФРЫ</v>
      </c>
      <c r="R24" s="216" t="str">
        <f t="shared" si="12"/>
        <v>#VALUE!</v>
      </c>
      <c r="S24" s="217" t="s">
        <v>105</v>
      </c>
      <c r="T24" s="216" t="str">
        <f t="shared" si="6"/>
        <v>DevOps Развертывание баз данных (PostgreSQL, Redis, Qdrant)</v>
      </c>
      <c r="U24" s="214" t="str">
        <f t="shared" si="7"/>
        <v>DevOps</v>
      </c>
      <c r="V24" s="214">
        <f t="shared" si="8"/>
        <v>4</v>
      </c>
      <c r="W24" s="2"/>
      <c r="X24" s="2"/>
      <c r="Y24" s="2"/>
      <c r="Z24" s="2"/>
      <c r="AA24" s="2"/>
      <c r="AB24" s="2"/>
      <c r="AC24" s="2"/>
      <c r="AD24" s="2"/>
      <c r="AE24" s="2"/>
      <c r="AF24" s="187"/>
      <c r="AG24" s="187"/>
      <c r="AH24" s="187"/>
    </row>
    <row r="25" ht="14.25" customHeight="1">
      <c r="A25" s="259"/>
      <c r="B25" s="273"/>
      <c r="C25" s="261" t="s">
        <v>142</v>
      </c>
      <c r="D25" s="262">
        <v>4.0</v>
      </c>
      <c r="E25" s="271" t="s">
        <v>127</v>
      </c>
      <c r="F25" s="264">
        <v>1.0</v>
      </c>
      <c r="G25" s="265">
        <v>9.0</v>
      </c>
      <c r="H25" s="265">
        <v>2.0</v>
      </c>
      <c r="I25" s="266"/>
      <c r="J25" s="267" t="s">
        <v>143</v>
      </c>
      <c r="K25" s="237">
        <f>IFERROR(IF(OR(F25=0,D25=0,F25="",D25=""),"",ROUNDUP('2. Расчет трудозатрат'!$D25/8*$N$4/'2. Расчет трудозатрат'!$F25,0)),"ПРОВЕРЬ ЦИФРЫ")</f>
        <v>1</v>
      </c>
      <c r="L25" s="238" t="s">
        <v>104</v>
      </c>
      <c r="M25" s="214"/>
      <c r="N25" s="230"/>
      <c r="O25" s="214"/>
      <c r="P25" s="216" t="str">
        <f t="shared" si="10"/>
        <v>УКАЖИ РОЛЬ</v>
      </c>
      <c r="Q25" s="216" t="str">
        <f t="shared" si="11"/>
        <v>ПРОВЕРЬ ЦИФРЫ</v>
      </c>
      <c r="R25" s="216" t="str">
        <f t="shared" si="12"/>
        <v>#VALUE!</v>
      </c>
      <c r="S25" s="217" t="s">
        <v>105</v>
      </c>
      <c r="T25" s="216" t="str">
        <f t="shared" si="6"/>
        <v>DevOps Настройка системы логирования и мониторинга (Prometheus, Grafana)</v>
      </c>
      <c r="U25" s="214" t="str">
        <f t="shared" si="7"/>
        <v>DevOps</v>
      </c>
      <c r="V25" s="214">
        <f t="shared" si="8"/>
        <v>4</v>
      </c>
      <c r="W25" s="2"/>
      <c r="X25" s="2"/>
      <c r="Y25" s="2"/>
      <c r="Z25" s="2"/>
      <c r="AA25" s="2"/>
      <c r="AB25" s="2"/>
      <c r="AC25" s="2"/>
      <c r="AD25" s="2"/>
      <c r="AE25" s="2"/>
      <c r="AF25" s="187"/>
      <c r="AG25" s="187"/>
      <c r="AH25" s="187"/>
    </row>
    <row r="26" ht="14.25" customHeight="1">
      <c r="A26" s="251"/>
      <c r="B26" s="274"/>
      <c r="C26" s="253" t="s">
        <v>144</v>
      </c>
      <c r="D26" s="254">
        <v>24.0</v>
      </c>
      <c r="E26" s="255" t="s">
        <v>124</v>
      </c>
      <c r="F26" s="256">
        <v>1.0</v>
      </c>
      <c r="G26" s="257">
        <v>6.0</v>
      </c>
      <c r="H26" s="257">
        <v>2.0</v>
      </c>
      <c r="I26" s="268"/>
      <c r="J26" s="258" t="s">
        <v>145</v>
      </c>
      <c r="K26" s="244">
        <f>IFERROR(IF(OR(F26=0,D26=0,F26="",D26=""),"",ROUNDUP('2. Расчет трудозатрат'!$D26/8*$N$4/'2. Расчет трудозатрат'!$F26,0)),"ПРОВЕРЬ ЦИФРЫ")</f>
        <v>3</v>
      </c>
      <c r="L26" s="245" t="s">
        <v>104</v>
      </c>
      <c r="M26" s="214"/>
      <c r="N26" s="230"/>
      <c r="O26" s="214"/>
      <c r="P26" s="216" t="str">
        <f t="shared" si="10"/>
        <v>УКАЖИ РОЛЬ</v>
      </c>
      <c r="Q26" s="216" t="str">
        <f t="shared" si="11"/>
        <v>ПРОВЕРЬ ЦИФРЫ</v>
      </c>
      <c r="R26" s="216" t="str">
        <f t="shared" si="12"/>
        <v>#VALUE!</v>
      </c>
      <c r="S26" s="217" t="s">
        <v>105</v>
      </c>
      <c r="T26" s="216" t="str">
        <f t="shared" si="6"/>
        <v>Development Back API Gateway: настройка эндпоинтов, роутинг, rate limiting</v>
      </c>
      <c r="U26" s="214" t="str">
        <f t="shared" si="7"/>
        <v>Development Back</v>
      </c>
      <c r="V26" s="214">
        <f t="shared" si="8"/>
        <v>24</v>
      </c>
      <c r="W26" s="2"/>
      <c r="X26" s="2"/>
      <c r="Y26" s="2"/>
      <c r="Z26" s="2"/>
      <c r="AA26" s="2"/>
      <c r="AB26" s="2"/>
      <c r="AC26" s="2"/>
      <c r="AD26" s="2"/>
      <c r="AE26" s="2"/>
      <c r="AF26" s="187"/>
      <c r="AG26" s="187"/>
      <c r="AH26" s="187"/>
    </row>
    <row r="27" ht="14.25" customHeight="1">
      <c r="A27" s="259"/>
      <c r="B27" s="273"/>
      <c r="C27" s="261" t="s">
        <v>146</v>
      </c>
      <c r="D27" s="262">
        <v>32.0</v>
      </c>
      <c r="E27" s="263" t="s">
        <v>124</v>
      </c>
      <c r="F27" s="264">
        <v>2.0</v>
      </c>
      <c r="G27" s="265">
        <v>7.0</v>
      </c>
      <c r="H27" s="265">
        <v>2.0</v>
      </c>
      <c r="I27" s="267" t="s">
        <v>147</v>
      </c>
      <c r="J27" s="267" t="s">
        <v>148</v>
      </c>
      <c r="K27" s="237">
        <f>IFERROR(IF(OR(F27=0,D27=0,F27="",D27=""),"",ROUNDUP('2. Расчет трудозатрат'!$D27/8*$N$4/'2. Расчет трудозатрат'!$F27,0)),"ПРОВЕРЬ ЦИФРЫ")</f>
        <v>2</v>
      </c>
      <c r="L27" s="238" t="s">
        <v>104</v>
      </c>
      <c r="M27" s="214"/>
      <c r="N27" s="230"/>
      <c r="O27" s="214"/>
      <c r="P27" s="216" t="str">
        <f t="shared" si="10"/>
        <v>УКАЖИ РОЛЬ</v>
      </c>
      <c r="Q27" s="216" t="str">
        <f t="shared" si="11"/>
        <v>ПРОВЕРЬ ЦИФРЫ</v>
      </c>
      <c r="R27" s="216" t="str">
        <f t="shared" si="12"/>
        <v>#VALUE!</v>
      </c>
      <c r="S27" s="217" t="s">
        <v>105</v>
      </c>
      <c r="T27" s="216" t="str">
        <f t="shared" si="6"/>
        <v>Development Back Адаптер GreenAPI: парсинг и нормализация webhooks</v>
      </c>
      <c r="U27" s="214" t="str">
        <f t="shared" si="7"/>
        <v>Development Back</v>
      </c>
      <c r="V27" s="214">
        <f t="shared" si="8"/>
        <v>32</v>
      </c>
      <c r="W27" s="2"/>
      <c r="X27" s="2"/>
      <c r="Y27" s="2"/>
      <c r="Z27" s="2"/>
      <c r="AA27" s="2"/>
      <c r="AB27" s="2"/>
      <c r="AC27" s="2"/>
      <c r="AD27" s="2"/>
      <c r="AE27" s="2"/>
      <c r="AF27" s="187"/>
      <c r="AG27" s="187"/>
      <c r="AH27" s="187"/>
    </row>
    <row r="28" ht="14.25" customHeight="1">
      <c r="A28" s="251"/>
      <c r="B28" s="274"/>
      <c r="C28" s="253" t="s">
        <v>149</v>
      </c>
      <c r="D28" s="254">
        <v>32.0</v>
      </c>
      <c r="E28" s="255" t="s">
        <v>124</v>
      </c>
      <c r="F28" s="256">
        <v>1.0</v>
      </c>
      <c r="G28" s="257">
        <v>12.0</v>
      </c>
      <c r="H28" s="257">
        <v>2.0</v>
      </c>
      <c r="I28" s="258" t="s">
        <v>150</v>
      </c>
      <c r="J28" s="258" t="s">
        <v>151</v>
      </c>
      <c r="K28" s="244">
        <f>IFERROR(IF(OR(F28=0,D28=0,F28="",D28=""),"",ROUNDUP('2. Расчет трудозатрат'!$D28/8*$N$4/'2. Расчет трудозатрат'!$F28,0)),"ПРОВЕРЬ ЦИФРЫ")</f>
        <v>4</v>
      </c>
      <c r="L28" s="245" t="s">
        <v>104</v>
      </c>
      <c r="M28" s="214"/>
      <c r="N28" s="230"/>
      <c r="O28" s="214"/>
      <c r="P28" s="216" t="str">
        <f t="shared" si="10"/>
        <v>УКАЖИ РОЛЬ</v>
      </c>
      <c r="Q28" s="216" t="str">
        <f t="shared" si="11"/>
        <v>ПРОВЕРЬ ЦИФРЫ</v>
      </c>
      <c r="R28" s="216" t="str">
        <f t="shared" si="12"/>
        <v>#VALUE!</v>
      </c>
      <c r="S28" s="217" t="s">
        <v>105</v>
      </c>
      <c r="T28" s="216" t="str">
        <f t="shared" si="6"/>
        <v>Development Back Адаптер JivoSite: парсинг и нормализация webhooks</v>
      </c>
      <c r="U28" s="214" t="str">
        <f t="shared" si="7"/>
        <v>Development Back</v>
      </c>
      <c r="V28" s="214">
        <f t="shared" si="8"/>
        <v>32</v>
      </c>
      <c r="W28" s="2"/>
      <c r="X28" s="2"/>
      <c r="Y28" s="2"/>
      <c r="Z28" s="2"/>
      <c r="AA28" s="2"/>
      <c r="AB28" s="2"/>
      <c r="AC28" s="2"/>
      <c r="AD28" s="2"/>
      <c r="AE28" s="2"/>
      <c r="AF28" s="187"/>
      <c r="AG28" s="187"/>
      <c r="AH28" s="187"/>
    </row>
    <row r="29" ht="14.25" customHeight="1">
      <c r="A29" s="259"/>
      <c r="B29" s="273"/>
      <c r="C29" s="261" t="s">
        <v>152</v>
      </c>
      <c r="D29" s="262">
        <v>40.0</v>
      </c>
      <c r="E29" s="263" t="s">
        <v>124</v>
      </c>
      <c r="F29" s="264">
        <v>1.0</v>
      </c>
      <c r="G29" s="265">
        <v>13.0</v>
      </c>
      <c r="H29" s="265">
        <v>2.0</v>
      </c>
      <c r="I29" s="266"/>
      <c r="J29" s="267" t="s">
        <v>153</v>
      </c>
      <c r="K29" s="237">
        <f>IFERROR(IF(OR(F29=0,D29=0,F29="",D29=""),"",ROUNDUP('2. Расчет трудозатрат'!$D29/8*$N$4/'2. Расчет трудозатрат'!$F29,0)),"ПРОВЕРЬ ЦИФРЫ")</f>
        <v>5</v>
      </c>
      <c r="L29" s="238" t="s">
        <v>104</v>
      </c>
      <c r="M29" s="214"/>
      <c r="N29" s="230"/>
      <c r="O29" s="214"/>
      <c r="P29" s="216" t="str">
        <f t="shared" si="10"/>
        <v>УКАЖИ РОЛЬ</v>
      </c>
      <c r="Q29" s="216" t="str">
        <f t="shared" si="11"/>
        <v>ПРОВЕРЬ ЦИФРЫ</v>
      </c>
      <c r="R29" s="216" t="str">
        <f t="shared" si="12"/>
        <v>#VALUE!</v>
      </c>
      <c r="S29" s="217" t="s">
        <v>105</v>
      </c>
      <c r="T29" s="216" t="str">
        <f t="shared" si="6"/>
        <v>Development Back Bot Core Orchestrator: чтение из очереди, роутинг запросов</v>
      </c>
      <c r="U29" s="214" t="str">
        <f t="shared" si="7"/>
        <v>Development Back</v>
      </c>
      <c r="V29" s="214">
        <f t="shared" si="8"/>
        <v>40</v>
      </c>
      <c r="W29" s="2"/>
      <c r="X29" s="2"/>
      <c r="Y29" s="2"/>
      <c r="Z29" s="2"/>
      <c r="AA29" s="2"/>
      <c r="AB29" s="2"/>
      <c r="AC29" s="2"/>
      <c r="AD29" s="2"/>
      <c r="AE29" s="2"/>
      <c r="AF29" s="187"/>
      <c r="AG29" s="187"/>
      <c r="AH29" s="187"/>
    </row>
    <row r="30" ht="14.25" customHeight="1">
      <c r="A30" s="251"/>
      <c r="B30" s="274"/>
      <c r="C30" s="253" t="s">
        <v>154</v>
      </c>
      <c r="D30" s="254">
        <v>24.0</v>
      </c>
      <c r="E30" s="255" t="s">
        <v>124</v>
      </c>
      <c r="F30" s="256">
        <v>1.0</v>
      </c>
      <c r="G30" s="257">
        <v>14.0</v>
      </c>
      <c r="H30" s="257">
        <v>2.0</v>
      </c>
      <c r="I30" s="258" t="s">
        <v>155</v>
      </c>
      <c r="J30" s="258" t="s">
        <v>156</v>
      </c>
      <c r="K30" s="244">
        <f>IFERROR(IF(OR(F30=0,D30=0,F30="",D30=""),"",ROUNDUP('2. Расчет трудозатрат'!$D30/8*$N$4/'2. Расчет трудозатрат'!$F30,0)),"ПРОВЕРЬ ЦИФРЫ")</f>
        <v>3</v>
      </c>
      <c r="L30" s="245" t="s">
        <v>104</v>
      </c>
      <c r="M30" s="214"/>
      <c r="N30" s="230"/>
      <c r="O30" s="214"/>
      <c r="P30" s="216" t="str">
        <f t="shared" si="10"/>
        <v>УКАЖИ РОЛЬ</v>
      </c>
      <c r="Q30" s="216" t="str">
        <f t="shared" si="11"/>
        <v>ПРОВЕРЬ ЦИФРЫ</v>
      </c>
      <c r="R30" s="216" t="str">
        <f t="shared" si="12"/>
        <v>#VALUE!</v>
      </c>
      <c r="S30" s="217" t="s">
        <v>105</v>
      </c>
      <c r="T30" s="216" t="str">
        <f t="shared" si="6"/>
        <v>Development Back Реализация ролевой модели (клиент/менеджер)</v>
      </c>
      <c r="U30" s="214" t="str">
        <f t="shared" si="7"/>
        <v>Development Back</v>
      </c>
      <c r="V30" s="214">
        <f t="shared" si="8"/>
        <v>24</v>
      </c>
      <c r="W30" s="2"/>
      <c r="X30" s="2"/>
      <c r="Y30" s="2"/>
      <c r="Z30" s="2"/>
      <c r="AA30" s="2"/>
      <c r="AB30" s="2"/>
      <c r="AC30" s="2"/>
      <c r="AD30" s="2"/>
      <c r="AE30" s="2"/>
      <c r="AF30" s="187"/>
      <c r="AG30" s="187"/>
      <c r="AH30" s="187"/>
    </row>
    <row r="31" ht="14.25" customHeight="1">
      <c r="A31" s="259"/>
      <c r="B31" s="273"/>
      <c r="C31" s="261" t="s">
        <v>157</v>
      </c>
      <c r="D31" s="262">
        <v>16.0</v>
      </c>
      <c r="E31" s="263" t="s">
        <v>124</v>
      </c>
      <c r="F31" s="264">
        <v>1.0</v>
      </c>
      <c r="G31" s="265">
        <v>15.0</v>
      </c>
      <c r="H31" s="265">
        <v>2.0</v>
      </c>
      <c r="I31" s="267" t="s">
        <v>158</v>
      </c>
      <c r="J31" s="267" t="s">
        <v>159</v>
      </c>
      <c r="K31" s="237">
        <f>IFERROR(IF(OR(F31=0,D31=0,F31="",D31=""),"",ROUNDUP('2. Расчет трудозатрат'!$D31/8*$N$4/'2. Расчет трудозатрат'!$F31,0)),"ПРОВЕРЬ ЦИФРЫ")</f>
        <v>2</v>
      </c>
      <c r="L31" s="238" t="s">
        <v>104</v>
      </c>
      <c r="M31" s="214"/>
      <c r="N31" s="230"/>
      <c r="O31" s="214"/>
      <c r="P31" s="216" t="str">
        <f t="shared" si="10"/>
        <v>УКАЖИ РОЛЬ</v>
      </c>
      <c r="Q31" s="216" t="str">
        <f t="shared" si="11"/>
        <v>ПРОВЕРЬ ЦИФРЫ</v>
      </c>
      <c r="R31" s="216" t="str">
        <f t="shared" si="12"/>
        <v>#VALUE!</v>
      </c>
      <c r="S31" s="217" t="s">
        <v>105</v>
      </c>
      <c r="T31" s="216" t="str">
        <f t="shared" si="6"/>
        <v>Development Back Реализация глобального кэша запросов (Redis)</v>
      </c>
      <c r="U31" s="214" t="str">
        <f t="shared" si="7"/>
        <v>Development Back</v>
      </c>
      <c r="V31" s="214">
        <f t="shared" si="8"/>
        <v>16</v>
      </c>
      <c r="W31" s="2"/>
      <c r="X31" s="2"/>
      <c r="Y31" s="2"/>
      <c r="Z31" s="2"/>
      <c r="AA31" s="2"/>
      <c r="AB31" s="2"/>
      <c r="AC31" s="2"/>
      <c r="AD31" s="2"/>
      <c r="AE31" s="2"/>
      <c r="AF31" s="187"/>
      <c r="AG31" s="187"/>
      <c r="AH31" s="187"/>
    </row>
    <row r="32" ht="14.25" customHeight="1">
      <c r="A32" s="251"/>
      <c r="B32" s="274"/>
      <c r="C32" s="253" t="s">
        <v>160</v>
      </c>
      <c r="D32" s="254">
        <v>40.0</v>
      </c>
      <c r="E32" s="255" t="s">
        <v>124</v>
      </c>
      <c r="F32" s="256">
        <v>1.0</v>
      </c>
      <c r="G32" s="257">
        <v>16.0</v>
      </c>
      <c r="H32" s="257">
        <v>2.0</v>
      </c>
      <c r="I32" s="258" t="s">
        <v>161</v>
      </c>
      <c r="J32" s="258" t="s">
        <v>162</v>
      </c>
      <c r="K32" s="244">
        <f>IFERROR(IF(OR(F32=0,D32=0,F32="",D32=""),"",ROUNDUP('2. Расчет трудозатрат'!$D32/8*$N$4/'2. Расчет трудозатрат'!$F32,0)),"ПРОВЕРЬ ЦИФРЫ")</f>
        <v>5</v>
      </c>
      <c r="L32" s="245" t="s">
        <v>104</v>
      </c>
      <c r="M32" s="214"/>
      <c r="N32" s="230"/>
      <c r="O32" s="214"/>
      <c r="P32" s="216" t="str">
        <f t="shared" si="10"/>
        <v>УКАЖИ РОЛЬ</v>
      </c>
      <c r="Q32" s="216" t="str">
        <f t="shared" si="11"/>
        <v>ПРОВЕРЬ ЦИФРЫ</v>
      </c>
      <c r="R32" s="216" t="str">
        <f t="shared" si="12"/>
        <v>#VALUE!</v>
      </c>
      <c r="S32" s="217" t="s">
        <v>105</v>
      </c>
      <c r="T32" s="216" t="str">
        <f t="shared" si="6"/>
        <v>Development Back ERP Integration Service: разработка защищенного API</v>
      </c>
      <c r="U32" s="214" t="str">
        <f t="shared" si="7"/>
        <v>Development Back</v>
      </c>
      <c r="V32" s="214">
        <f t="shared" si="8"/>
        <v>40</v>
      </c>
      <c r="W32" s="2"/>
      <c r="X32" s="2"/>
      <c r="Y32" s="2"/>
      <c r="Z32" s="2"/>
      <c r="AA32" s="2"/>
      <c r="AB32" s="2"/>
      <c r="AC32" s="2"/>
      <c r="AD32" s="2"/>
      <c r="AE32" s="2"/>
      <c r="AF32" s="187"/>
      <c r="AG32" s="187"/>
      <c r="AH32" s="187"/>
    </row>
    <row r="33" ht="14.25" customHeight="1">
      <c r="A33" s="259"/>
      <c r="B33" s="273"/>
      <c r="C33" s="261" t="s">
        <v>163</v>
      </c>
      <c r="D33" s="262">
        <v>32.0</v>
      </c>
      <c r="E33" s="263" t="s">
        <v>124</v>
      </c>
      <c r="F33" s="264">
        <v>1.0</v>
      </c>
      <c r="G33" s="265">
        <v>17.0</v>
      </c>
      <c r="H33" s="265">
        <v>2.0</v>
      </c>
      <c r="I33" s="267" t="s">
        <v>164</v>
      </c>
      <c r="J33" s="267" t="s">
        <v>165</v>
      </c>
      <c r="K33" s="237">
        <f>IFERROR(IF(OR(F33=0,D33=0,F33="",D33=""),"",ROUNDUP('2. Расчет трудозатрат'!$D33/8*$N$4/'2. Расчет трудозатрат'!$F33,0)),"ПРОВЕРЬ ЦИФРЫ")</f>
        <v>4</v>
      </c>
      <c r="L33" s="238" t="s">
        <v>104</v>
      </c>
      <c r="M33" s="214"/>
      <c r="N33" s="230"/>
      <c r="O33" s="214"/>
      <c r="P33" s="216" t="str">
        <f t="shared" si="10"/>
        <v>УКАЖИ РОЛЬ</v>
      </c>
      <c r="Q33" s="216" t="str">
        <f t="shared" si="11"/>
        <v>ПРОВЕРЬ ЦИФРЫ</v>
      </c>
      <c r="R33" s="216" t="str">
        <f t="shared" si="12"/>
        <v>#VALUE!</v>
      </c>
      <c r="S33" s="217" t="s">
        <v>105</v>
      </c>
      <c r="T33" s="216" t="str">
        <f t="shared" si="6"/>
        <v>Development Back Реализация логики авторизации (проверка прав на заказ)</v>
      </c>
      <c r="U33" s="214" t="str">
        <f t="shared" si="7"/>
        <v>Development Back</v>
      </c>
      <c r="V33" s="214">
        <f t="shared" si="8"/>
        <v>32</v>
      </c>
      <c r="W33" s="2"/>
      <c r="X33" s="2"/>
      <c r="Y33" s="2"/>
      <c r="Z33" s="2"/>
      <c r="AA33" s="2"/>
      <c r="AB33" s="2"/>
      <c r="AC33" s="2"/>
      <c r="AD33" s="2"/>
      <c r="AE33" s="2"/>
      <c r="AF33" s="187"/>
      <c r="AG33" s="187"/>
      <c r="AH33" s="187"/>
    </row>
    <row r="34" ht="14.25" customHeight="1">
      <c r="A34" s="251"/>
      <c r="B34" s="274"/>
      <c r="C34" s="253" t="s">
        <v>166</v>
      </c>
      <c r="D34" s="254">
        <v>32.0</v>
      </c>
      <c r="E34" s="272" t="s">
        <v>130</v>
      </c>
      <c r="F34" s="256">
        <v>1.0</v>
      </c>
      <c r="G34" s="257">
        <v>13.0</v>
      </c>
      <c r="H34" s="257">
        <v>2.0</v>
      </c>
      <c r="I34" s="258" t="s">
        <v>167</v>
      </c>
      <c r="J34" s="258" t="s">
        <v>168</v>
      </c>
      <c r="K34" s="244">
        <f>IFERROR(IF(OR(F34=0,D34=0,F34="",D34=""),"",ROUNDUP('2. Расчет трудозатрат'!$D34/8*$N$4/'2. Расчет трудозатрат'!$F34,0)),"ПРОВЕРЬ ЦИФРЫ")</f>
        <v>4</v>
      </c>
      <c r="L34" s="245" t="s">
        <v>104</v>
      </c>
      <c r="M34" s="214"/>
      <c r="N34" s="230"/>
      <c r="O34" s="214"/>
      <c r="P34" s="216" t="str">
        <f t="shared" si="10"/>
        <v>УКАЖИ РОЛЬ</v>
      </c>
      <c r="Q34" s="216" t="str">
        <f t="shared" si="11"/>
        <v>ПРОВЕРЬ ЦИФРЫ</v>
      </c>
      <c r="R34" s="216" t="str">
        <f t="shared" si="12"/>
        <v>#VALUE!</v>
      </c>
      <c r="S34" s="217" t="s">
        <v>105</v>
      </c>
      <c r="T34" s="216" t="str">
        <f t="shared" si="6"/>
        <v>DS/Ai/ML Confluence Indexer: выгрузка, парсинг, чанкинг</v>
      </c>
      <c r="U34" s="214" t="str">
        <f t="shared" si="7"/>
        <v>DS/Ai/ML</v>
      </c>
      <c r="V34" s="214">
        <f t="shared" si="8"/>
        <v>32</v>
      </c>
      <c r="W34" s="2"/>
      <c r="X34" s="2"/>
      <c r="Y34" s="2"/>
      <c r="Z34" s="2"/>
      <c r="AA34" s="2"/>
      <c r="AB34" s="2"/>
      <c r="AC34" s="2"/>
      <c r="AD34" s="2"/>
      <c r="AE34" s="2"/>
      <c r="AF34" s="187"/>
      <c r="AG34" s="187"/>
      <c r="AH34" s="187"/>
    </row>
    <row r="35" ht="14.25" customHeight="1">
      <c r="A35" s="259"/>
      <c r="B35" s="273"/>
      <c r="C35" s="261" t="s">
        <v>169</v>
      </c>
      <c r="D35" s="262">
        <v>72.0</v>
      </c>
      <c r="E35" s="271" t="s">
        <v>130</v>
      </c>
      <c r="F35" s="264">
        <v>1.0</v>
      </c>
      <c r="G35" s="265">
        <v>16.0</v>
      </c>
      <c r="H35" s="265">
        <v>2.0</v>
      </c>
      <c r="I35" s="266"/>
      <c r="J35" s="267" t="s">
        <v>170</v>
      </c>
      <c r="K35" s="237">
        <f>IFERROR(IF(OR(F35=0,D35=0,F35="",D35=""),"",ROUNDUP('2. Расчет трудозатрат'!$D35/8*$N$4/'2. Расчет трудозатрат'!$F35,0)),"ПРОВЕРЬ ЦИФРЫ")</f>
        <v>9</v>
      </c>
      <c r="L35" s="238" t="s">
        <v>104</v>
      </c>
      <c r="M35" s="214"/>
      <c r="N35" s="230"/>
      <c r="O35" s="214"/>
      <c r="P35" s="216" t="str">
        <f t="shared" si="10"/>
        <v>УКАЖИ РОЛЬ</v>
      </c>
      <c r="Q35" s="216" t="str">
        <f t="shared" si="11"/>
        <v>ПРОВЕРЬ ЦИФРЫ</v>
      </c>
      <c r="R35" s="216" t="str">
        <f t="shared" si="12"/>
        <v>#VALUE!</v>
      </c>
      <c r="S35" s="217" t="s">
        <v>105</v>
      </c>
      <c r="T35" s="216" t="str">
        <f t="shared" si="6"/>
        <v>DS/Ai/ML RAG Service: API, интеграция с Vector DB и LLM</v>
      </c>
      <c r="U35" s="214" t="str">
        <f t="shared" si="7"/>
        <v>DS/Ai/ML</v>
      </c>
      <c r="V35" s="214">
        <f t="shared" si="8"/>
        <v>72</v>
      </c>
      <c r="W35" s="2"/>
      <c r="X35" s="2"/>
      <c r="Y35" s="2"/>
      <c r="Z35" s="2"/>
      <c r="AA35" s="2"/>
      <c r="AB35" s="2"/>
      <c r="AC35" s="2"/>
      <c r="AD35" s="2"/>
      <c r="AE35" s="2"/>
      <c r="AF35" s="187"/>
      <c r="AG35" s="187"/>
      <c r="AH35" s="187"/>
    </row>
    <row r="36" ht="14.25" customHeight="1">
      <c r="A36" s="251"/>
      <c r="B36" s="274"/>
      <c r="C36" s="253" t="s">
        <v>171</v>
      </c>
      <c r="D36" s="254">
        <v>40.0</v>
      </c>
      <c r="E36" s="272" t="s">
        <v>130</v>
      </c>
      <c r="F36" s="256">
        <v>1.0</v>
      </c>
      <c r="G36" s="257">
        <v>17.0</v>
      </c>
      <c r="H36" s="257">
        <v>2.0</v>
      </c>
      <c r="I36" s="258" t="s">
        <v>172</v>
      </c>
      <c r="J36" s="258" t="s">
        <v>173</v>
      </c>
      <c r="K36" s="244">
        <f>IFERROR(IF(OR(F36=0,D36=0,F36="",D36=""),"",ROUNDUP('2. Расчет трудозатрат'!$D36/8*$N$4/'2. Расчет трудозатрат'!$F36,0)),"ПРОВЕРЬ ЦИФРЫ")</f>
        <v>5</v>
      </c>
      <c r="L36" s="245" t="s">
        <v>104</v>
      </c>
      <c r="M36" s="214"/>
      <c r="N36" s="230"/>
      <c r="O36" s="214"/>
      <c r="P36" s="216" t="str">
        <f t="shared" si="10"/>
        <v>УКАЖИ РОЛЬ</v>
      </c>
      <c r="Q36" s="216" t="str">
        <f t="shared" si="11"/>
        <v>ПРОВЕРЬ ЦИФРЫ</v>
      </c>
      <c r="R36" s="216" t="str">
        <f t="shared" si="12"/>
        <v>#VALUE!</v>
      </c>
      <c r="S36" s="217" t="s">
        <v>105</v>
      </c>
      <c r="T36" s="216" t="str">
        <f t="shared" si="6"/>
        <v>DS/Ai/ML Подключение облачной LLM и подклчюение к Embedding моделям</v>
      </c>
      <c r="U36" s="214" t="str">
        <f t="shared" si="7"/>
        <v>DS/Ai/ML</v>
      </c>
      <c r="V36" s="214">
        <f t="shared" si="8"/>
        <v>40</v>
      </c>
      <c r="W36" s="2"/>
      <c r="X36" s="2"/>
      <c r="Y36" s="2"/>
      <c r="Z36" s="2"/>
      <c r="AA36" s="2"/>
      <c r="AB36" s="2"/>
      <c r="AC36" s="2"/>
      <c r="AD36" s="2"/>
      <c r="AE36" s="2"/>
      <c r="AF36" s="187"/>
      <c r="AG36" s="187"/>
      <c r="AH36" s="187"/>
    </row>
    <row r="37" ht="14.25" customHeight="1">
      <c r="A37" s="259"/>
      <c r="B37" s="273"/>
      <c r="C37" s="261" t="s">
        <v>174</v>
      </c>
      <c r="D37" s="262">
        <v>24.0</v>
      </c>
      <c r="E37" s="263" t="s">
        <v>124</v>
      </c>
      <c r="F37" s="264">
        <v>1.0</v>
      </c>
      <c r="G37" s="265">
        <v>21.0</v>
      </c>
      <c r="H37" s="265">
        <v>2.0</v>
      </c>
      <c r="I37" s="266"/>
      <c r="J37" s="267" t="s">
        <v>175</v>
      </c>
      <c r="K37" s="237">
        <f>IFERROR(IF(OR(F37=0,D37=0,F37="",D37=""),"",ROUNDUP('2. Расчет трудозатрат'!$D37/8*$N$4/'2. Расчет трудозатрат'!$F37,0)),"ПРОВЕРЬ ЦИФРЫ")</f>
        <v>3</v>
      </c>
      <c r="L37" s="238" t="s">
        <v>104</v>
      </c>
      <c r="M37" s="214"/>
      <c r="N37" s="230"/>
      <c r="O37" s="214"/>
      <c r="P37" s="216" t="str">
        <f t="shared" si="10"/>
        <v>УКАЖИ РОЛЬ</v>
      </c>
      <c r="Q37" s="216" t="str">
        <f t="shared" si="11"/>
        <v>ПРОВЕРЬ ЦИФРЫ</v>
      </c>
      <c r="R37" s="216" t="str">
        <f t="shared" si="12"/>
        <v>#VALUE!</v>
      </c>
      <c r="S37" s="217" t="s">
        <v>105</v>
      </c>
      <c r="T37" s="216" t="str">
        <f t="shared" si="6"/>
        <v>Development Back Notification Dispatcher: асинхронная отправка ответов</v>
      </c>
      <c r="U37" s="214" t="str">
        <f t="shared" si="7"/>
        <v>Development Back</v>
      </c>
      <c r="V37" s="214">
        <f t="shared" si="8"/>
        <v>24</v>
      </c>
      <c r="W37" s="2"/>
      <c r="X37" s="2"/>
      <c r="Y37" s="2"/>
      <c r="Z37" s="2"/>
      <c r="AA37" s="2"/>
      <c r="AB37" s="2"/>
      <c r="AC37" s="2"/>
      <c r="AD37" s="2"/>
      <c r="AE37" s="2"/>
      <c r="AF37" s="187"/>
      <c r="AG37" s="187"/>
      <c r="AH37" s="187"/>
    </row>
    <row r="38" ht="14.25" customHeight="1">
      <c r="A38" s="251"/>
      <c r="B38" s="274"/>
      <c r="C38" s="253" t="s">
        <v>176</v>
      </c>
      <c r="D38" s="254">
        <v>32.0</v>
      </c>
      <c r="E38" s="255" t="s">
        <v>124</v>
      </c>
      <c r="F38" s="256">
        <v>1.0</v>
      </c>
      <c r="G38" s="257">
        <v>22.0</v>
      </c>
      <c r="H38" s="257">
        <v>2.0</v>
      </c>
      <c r="I38" s="268"/>
      <c r="J38" s="258" t="s">
        <v>177</v>
      </c>
      <c r="K38" s="244">
        <f>IFERROR(IF(OR(F38=0,D38=0,F38="",D38=""),"",ROUNDUP('2. Расчет трудозатрат'!$D38/8*$N$4/'2. Расчет трудозатрат'!$F38,0)),"ПРОВЕРЬ ЦИФРЫ")</f>
        <v>4</v>
      </c>
      <c r="L38" s="245" t="s">
        <v>104</v>
      </c>
      <c r="M38" s="214"/>
      <c r="N38" s="230"/>
      <c r="O38" s="214"/>
      <c r="P38" s="216" t="str">
        <f t="shared" si="10"/>
        <v>УКАЖИ РОЛЬ</v>
      </c>
      <c r="Q38" s="216" t="str">
        <f t="shared" si="11"/>
        <v>ПРОВЕРЬ ЦИФРЫ</v>
      </c>
      <c r="R38" s="216" t="str">
        <f t="shared" si="12"/>
        <v>#VALUE!</v>
      </c>
      <c r="S38" s="217" t="s">
        <v>105</v>
      </c>
      <c r="T38" s="216" t="str">
        <f t="shared" si="6"/>
        <v>Development Back Интеграция всех сервисов со структурированным логированием</v>
      </c>
      <c r="U38" s="214" t="str">
        <f t="shared" si="7"/>
        <v>Development Back</v>
      </c>
      <c r="V38" s="214">
        <f t="shared" si="8"/>
        <v>32</v>
      </c>
      <c r="W38" s="2"/>
      <c r="X38" s="2"/>
      <c r="Y38" s="2"/>
      <c r="Z38" s="2"/>
      <c r="AA38" s="2"/>
      <c r="AB38" s="2"/>
      <c r="AC38" s="2"/>
      <c r="AD38" s="2"/>
      <c r="AE38" s="2"/>
      <c r="AF38" s="187"/>
      <c r="AG38" s="187"/>
      <c r="AH38" s="187"/>
    </row>
    <row r="39" ht="14.25" customHeight="1">
      <c r="A39" s="246">
        <v>4.0</v>
      </c>
      <c r="B39" s="232" t="s">
        <v>178</v>
      </c>
      <c r="C39" s="273"/>
      <c r="D39" s="233"/>
      <c r="E39" s="234"/>
      <c r="F39" s="249"/>
      <c r="G39" s="233"/>
      <c r="H39" s="233"/>
      <c r="I39" s="271"/>
      <c r="J39" s="271"/>
      <c r="K39" s="237" t="str">
        <f>IFERROR(IF(OR(F39=0,D39=0,F39="",D39=""),"",ROUNDUP('2. Расчет трудозатрат'!$D39/8*$N$4/'2. Расчет трудозатрат'!$F39,0)),"ПРОВЕРЬ ЦИФРЫ")</f>
        <v/>
      </c>
      <c r="L39" s="238"/>
      <c r="M39" s="214"/>
      <c r="N39" s="230"/>
      <c r="O39" s="214"/>
      <c r="P39" s="216" t="str">
        <f t="shared" si="10"/>
        <v/>
      </c>
      <c r="Q39" s="216" t="str">
        <f t="shared" si="11"/>
        <v/>
      </c>
      <c r="R39" s="216" t="str">
        <f t="shared" si="12"/>
        <v/>
      </c>
      <c r="S39" s="217"/>
      <c r="T39" s="216" t="str">
        <f t="shared" si="6"/>
        <v/>
      </c>
      <c r="U39" s="214" t="str">
        <f t="shared" si="7"/>
        <v/>
      </c>
      <c r="V39" s="214" t="str">
        <f t="shared" si="8"/>
        <v/>
      </c>
      <c r="W39" s="2"/>
      <c r="X39" s="2"/>
      <c r="Y39" s="2"/>
      <c r="Z39" s="2"/>
      <c r="AA39" s="2"/>
      <c r="AB39" s="2"/>
      <c r="AC39" s="2"/>
      <c r="AD39" s="2"/>
      <c r="AE39" s="2"/>
      <c r="AF39" s="187"/>
      <c r="AG39" s="187"/>
      <c r="AH39" s="187"/>
    </row>
    <row r="40" ht="14.25" customHeight="1">
      <c r="A40" s="251"/>
      <c r="B40" s="252"/>
      <c r="C40" s="253" t="s">
        <v>179</v>
      </c>
      <c r="D40" s="254">
        <v>24.0</v>
      </c>
      <c r="E40" s="272" t="s">
        <v>180</v>
      </c>
      <c r="F40" s="275">
        <v>1.0</v>
      </c>
      <c r="G40" s="257">
        <v>15.0</v>
      </c>
      <c r="H40" s="257">
        <v>3.0</v>
      </c>
      <c r="I40" s="268"/>
      <c r="J40" s="258" t="s">
        <v>181</v>
      </c>
      <c r="K40" s="244">
        <f>IFERROR(IF(OR(F40=0,D40=0,F40="",D40=""),"",ROUNDUP('2. Расчет трудозатрат'!$D40/8*$N$4/'2. Расчет трудозатрат'!$F40,0)),"ПРОВЕРЬ ЦИФРЫ")</f>
        <v>3</v>
      </c>
      <c r="L40" s="245" t="s">
        <v>104</v>
      </c>
      <c r="M40" s="214"/>
      <c r="N40" s="230"/>
      <c r="O40" s="214"/>
      <c r="P40" s="216" t="str">
        <f t="shared" si="10"/>
        <v>УКАЖИ РОЛЬ</v>
      </c>
      <c r="Q40" s="216" t="str">
        <f t="shared" si="11"/>
        <v>ПРОВЕРЬ ЦИФРЫ</v>
      </c>
      <c r="R40" s="216" t="str">
        <f t="shared" si="12"/>
        <v>#VALUE!</v>
      </c>
      <c r="S40" s="217" t="s">
        <v>105</v>
      </c>
      <c r="T40" s="216" t="str">
        <f t="shared" si="6"/>
        <v>QA Разработка тест-плана и тест-кейсов</v>
      </c>
      <c r="U40" s="214" t="str">
        <f t="shared" si="7"/>
        <v>QA</v>
      </c>
      <c r="V40" s="214">
        <f t="shared" si="8"/>
        <v>24</v>
      </c>
      <c r="W40" s="2"/>
      <c r="X40" s="2"/>
      <c r="Y40" s="2"/>
      <c r="Z40" s="2"/>
      <c r="AA40" s="2"/>
      <c r="AB40" s="2"/>
      <c r="AC40" s="2"/>
      <c r="AD40" s="2"/>
      <c r="AE40" s="2"/>
      <c r="AF40" s="187"/>
      <c r="AG40" s="187"/>
      <c r="AH40" s="187"/>
    </row>
    <row r="41" ht="14.25" customHeight="1">
      <c r="A41" s="259"/>
      <c r="B41" s="273"/>
      <c r="C41" s="261" t="s">
        <v>182</v>
      </c>
      <c r="D41" s="262">
        <v>32.0</v>
      </c>
      <c r="E41" s="271" t="s">
        <v>180</v>
      </c>
      <c r="F41" s="276">
        <v>1.0</v>
      </c>
      <c r="G41" s="265">
        <v>16.0</v>
      </c>
      <c r="H41" s="265">
        <v>3.0</v>
      </c>
      <c r="I41" s="266"/>
      <c r="J41" s="267" t="s">
        <v>183</v>
      </c>
      <c r="K41" s="237">
        <f>IFERROR(IF(OR(F41=0,D41=0,F41="",D41=""),"",ROUNDUP('2. Расчет трудозатрат'!$D41/8*$N$4/'2. Расчет трудозатрат'!$F41,0)),"ПРОВЕРЬ ЦИФРЫ")</f>
        <v>4</v>
      </c>
      <c r="L41" s="238" t="s">
        <v>104</v>
      </c>
      <c r="M41" s="214"/>
      <c r="N41" s="230"/>
      <c r="O41" s="214"/>
      <c r="P41" s="216" t="str">
        <f t="shared" si="10"/>
        <v>УКАЖИ РОЛЬ</v>
      </c>
      <c r="Q41" s="216" t="str">
        <f t="shared" si="11"/>
        <v>ПРОВЕРЬ ЦИФРЫ</v>
      </c>
      <c r="R41" s="216" t="str">
        <f t="shared" si="12"/>
        <v>#VALUE!</v>
      </c>
      <c r="S41" s="217" t="s">
        <v>105</v>
      </c>
      <c r="T41" s="216" t="str">
        <f t="shared" si="6"/>
        <v>QA Компонентное и интеграционное тестирование API</v>
      </c>
      <c r="U41" s="214" t="str">
        <f t="shared" si="7"/>
        <v>QA</v>
      </c>
      <c r="V41" s="214">
        <f t="shared" si="8"/>
        <v>32</v>
      </c>
      <c r="W41" s="2"/>
      <c r="X41" s="2"/>
      <c r="Y41" s="2"/>
      <c r="Z41" s="2"/>
      <c r="AA41" s="2"/>
      <c r="AB41" s="2"/>
      <c r="AC41" s="2"/>
      <c r="AD41" s="2"/>
      <c r="AE41" s="2"/>
      <c r="AF41" s="187"/>
      <c r="AG41" s="187"/>
      <c r="AH41" s="187"/>
    </row>
    <row r="42" ht="14.25" customHeight="1">
      <c r="A42" s="277"/>
      <c r="B42" s="277"/>
      <c r="C42" s="253" t="s">
        <v>184</v>
      </c>
      <c r="D42" s="254">
        <v>24.0</v>
      </c>
      <c r="E42" s="278" t="s">
        <v>180</v>
      </c>
      <c r="F42" s="279"/>
      <c r="G42" s="257">
        <v>17.0</v>
      </c>
      <c r="H42" s="257">
        <v>3.0</v>
      </c>
      <c r="I42" s="258" t="s">
        <v>185</v>
      </c>
      <c r="J42" s="258" t="s">
        <v>186</v>
      </c>
      <c r="K42" s="244" t="str">
        <f>IFERROR(IF(OR(F42=0,D42=0,F42="",D42=""),"",ROUNDUP('2. Расчет трудозатрат'!$D42/8*$N$4/'2. Расчет трудозатрат'!$F42,0)),"ПРОВЕРЬ ЦИФРЫ")</f>
        <v/>
      </c>
      <c r="L42" s="245" t="s">
        <v>104</v>
      </c>
      <c r="M42" s="214"/>
      <c r="N42" s="230"/>
      <c r="O42" s="214"/>
      <c r="P42" s="216" t="str">
        <f t="shared" si="10"/>
        <v>УКАЖИ РОЛЬ</v>
      </c>
      <c r="Q42" s="216" t="str">
        <f t="shared" si="11"/>
        <v>ПРОВЕРЬ ЦИФРЫ</v>
      </c>
      <c r="R42" s="216" t="str">
        <f t="shared" si="12"/>
        <v>#VALUE!</v>
      </c>
      <c r="S42" s="217" t="s">
        <v>105</v>
      </c>
      <c r="T42" s="216" t="str">
        <f t="shared" si="6"/>
        <v>QA E2E тестирование сквозных сценариев (WhatsApp, Jivo)</v>
      </c>
      <c r="U42" s="280" t="str">
        <f t="shared" si="7"/>
        <v>QA</v>
      </c>
      <c r="V42" s="214">
        <f t="shared" si="8"/>
        <v>24</v>
      </c>
      <c r="W42" s="2"/>
      <c r="X42" s="2"/>
      <c r="Y42" s="2"/>
      <c r="Z42" s="2"/>
      <c r="AA42" s="2"/>
      <c r="AB42" s="2"/>
      <c r="AC42" s="2"/>
      <c r="AD42" s="2"/>
      <c r="AE42" s="2"/>
      <c r="AF42" s="187"/>
      <c r="AG42" s="187"/>
      <c r="AH42" s="187"/>
    </row>
    <row r="43" ht="14.25" customHeight="1">
      <c r="A43" s="247"/>
      <c r="B43" s="247"/>
      <c r="C43" s="261" t="s">
        <v>187</v>
      </c>
      <c r="D43" s="262">
        <v>24.0</v>
      </c>
      <c r="E43" s="281" t="s">
        <v>180</v>
      </c>
      <c r="F43" s="264">
        <v>1.0</v>
      </c>
      <c r="G43" s="265">
        <v>23.0</v>
      </c>
      <c r="H43" s="265">
        <v>3.0</v>
      </c>
      <c r="I43" s="266"/>
      <c r="J43" s="267" t="s">
        <v>188</v>
      </c>
      <c r="K43" s="237">
        <f>IFERROR(IF(OR(F43=0,D43=0,F43="",D43=""),"",ROUNDUP('2. Расчет трудозатрат'!$D43/8*$N$4/'2. Расчет трудозатрат'!$F43,0)),"ПРОВЕРЬ ЦИФРЫ")</f>
        <v>3</v>
      </c>
      <c r="L43" s="238" t="s">
        <v>104</v>
      </c>
      <c r="M43" s="214"/>
      <c r="N43" s="230"/>
      <c r="O43" s="214"/>
      <c r="P43" s="216" t="str">
        <f t="shared" si="10"/>
        <v>УКАЖИ РОЛЬ</v>
      </c>
      <c r="Q43" s="216" t="str">
        <f t="shared" si="11"/>
        <v>ПРОВЕРЬ ЦИФРЫ</v>
      </c>
      <c r="R43" s="216" t="str">
        <f t="shared" si="12"/>
        <v>#VALUE!</v>
      </c>
      <c r="S43" s="217" t="s">
        <v>105</v>
      </c>
      <c r="T43" s="216" t="str">
        <f t="shared" si="6"/>
        <v>QA Тестирование безопасности (проверка доступа к чужим заказам)</v>
      </c>
      <c r="U43" s="280" t="str">
        <f t="shared" si="7"/>
        <v>QA</v>
      </c>
      <c r="V43" s="214">
        <f t="shared" si="8"/>
        <v>24</v>
      </c>
      <c r="W43" s="2"/>
      <c r="X43" s="2"/>
      <c r="Y43" s="2"/>
      <c r="Z43" s="2"/>
      <c r="AA43" s="2"/>
      <c r="AB43" s="2"/>
      <c r="AC43" s="2"/>
      <c r="AD43" s="2"/>
      <c r="AE43" s="2"/>
      <c r="AF43" s="187"/>
      <c r="AG43" s="187"/>
      <c r="AH43" s="187"/>
    </row>
    <row r="44" ht="14.25" customHeight="1">
      <c r="A44" s="277"/>
      <c r="B44" s="277"/>
      <c r="C44" s="253" t="s">
        <v>189</v>
      </c>
      <c r="D44" s="254">
        <v>24.0</v>
      </c>
      <c r="E44" s="278" t="s">
        <v>180</v>
      </c>
      <c r="F44" s="256">
        <v>1.0</v>
      </c>
      <c r="G44" s="257">
        <v>21.0</v>
      </c>
      <c r="H44" s="257">
        <v>3.0</v>
      </c>
      <c r="I44" s="258" t="s">
        <v>190</v>
      </c>
      <c r="J44" s="258" t="s">
        <v>191</v>
      </c>
      <c r="K44" s="244">
        <f>IFERROR(IF(OR(F44=0,D44=0,F44="",D44=""),"",ROUNDUP('2. Расчет трудозатрат'!$D44/8*$N$4/'2. Расчет трудозатрат'!$F44,0)),"ПРОВЕРЬ ЦИФРЫ")</f>
        <v>3</v>
      </c>
      <c r="L44" s="245" t="s">
        <v>104</v>
      </c>
      <c r="M44" s="214"/>
      <c r="N44" s="230"/>
      <c r="O44" s="214"/>
      <c r="P44" s="216" t="str">
        <f t="shared" si="10"/>
        <v>УКАЖИ РОЛЬ</v>
      </c>
      <c r="Q44" s="216" t="str">
        <f t="shared" si="11"/>
        <v>ПРОВЕРЬ ЦИФРЫ</v>
      </c>
      <c r="R44" s="216" t="str">
        <f t="shared" si="12"/>
        <v>#VALUE!</v>
      </c>
      <c r="S44" s="217" t="s">
        <v>105</v>
      </c>
      <c r="T44" s="216" t="str">
        <f t="shared" si="6"/>
        <v>QA Нагрузочное тестирование</v>
      </c>
      <c r="U44" s="280" t="str">
        <f t="shared" si="7"/>
        <v>QA</v>
      </c>
      <c r="V44" s="214">
        <f t="shared" si="8"/>
        <v>24</v>
      </c>
      <c r="W44" s="2"/>
      <c r="X44" s="2"/>
      <c r="Y44" s="2"/>
      <c r="Z44" s="2"/>
      <c r="AA44" s="2"/>
      <c r="AB44" s="2"/>
      <c r="AC44" s="2"/>
      <c r="AD44" s="2"/>
      <c r="AE44" s="2"/>
      <c r="AF44" s="187"/>
      <c r="AG44" s="187"/>
      <c r="AH44" s="187"/>
    </row>
    <row r="45" ht="14.25" customHeight="1">
      <c r="A45" s="247"/>
      <c r="B45" s="247"/>
      <c r="C45" s="261" t="s">
        <v>192</v>
      </c>
      <c r="D45" s="262">
        <v>32.0</v>
      </c>
      <c r="E45" s="281" t="s">
        <v>180</v>
      </c>
      <c r="F45" s="264">
        <v>1.0</v>
      </c>
      <c r="G45" s="265">
        <v>22.0</v>
      </c>
      <c r="H45" s="265">
        <v>3.0</v>
      </c>
      <c r="I45" s="266"/>
      <c r="J45" s="267" t="s">
        <v>193</v>
      </c>
      <c r="K45" s="237">
        <f>IFERROR(IF(OR(F45=0,D45=0,F45="",D45=""),"",ROUNDUP('2. Расчет трудозатрат'!$D45/8*$N$4/'2. Расчет трудозатрат'!$F45,0)),"ПРОВЕРЬ ЦИФРЫ")</f>
        <v>4</v>
      </c>
      <c r="L45" s="238" t="s">
        <v>104</v>
      </c>
      <c r="M45" s="214"/>
      <c r="N45" s="230"/>
      <c r="O45" s="214"/>
      <c r="P45" s="216" t="str">
        <f t="shared" si="10"/>
        <v>УКАЖИ РОЛЬ</v>
      </c>
      <c r="Q45" s="216" t="str">
        <f t="shared" si="11"/>
        <v>ПРОВЕРЬ ЦИФРЫ</v>
      </c>
      <c r="R45" s="216" t="str">
        <f t="shared" si="12"/>
        <v>#VALUE!</v>
      </c>
      <c r="S45" s="217" t="s">
        <v>105</v>
      </c>
      <c r="T45" s="216" t="str">
        <f t="shared" si="6"/>
        <v>QA Регрессионное тестирование и стабилизация</v>
      </c>
      <c r="U45" s="280" t="str">
        <f t="shared" si="7"/>
        <v>QA</v>
      </c>
      <c r="V45" s="214">
        <f t="shared" si="8"/>
        <v>32</v>
      </c>
      <c r="W45" s="2"/>
      <c r="X45" s="2"/>
      <c r="Y45" s="2"/>
      <c r="Z45" s="2"/>
      <c r="AA45" s="2"/>
      <c r="AB45" s="2"/>
      <c r="AC45" s="2"/>
      <c r="AD45" s="2"/>
      <c r="AE45" s="2"/>
      <c r="AF45" s="187"/>
      <c r="AG45" s="187"/>
      <c r="AH45" s="187"/>
    </row>
    <row r="46" ht="14.25" customHeight="1">
      <c r="A46" s="282">
        <v>5.0</v>
      </c>
      <c r="B46" s="240" t="s">
        <v>194</v>
      </c>
      <c r="C46" s="277"/>
      <c r="D46" s="241"/>
      <c r="E46" s="283"/>
      <c r="F46" s="284"/>
      <c r="G46" s="257"/>
      <c r="H46" s="241"/>
      <c r="I46" s="272"/>
      <c r="J46" s="272"/>
      <c r="K46" s="244"/>
      <c r="L46" s="245"/>
      <c r="M46" s="214"/>
      <c r="N46" s="230"/>
      <c r="O46" s="214"/>
      <c r="P46" s="216" t="str">
        <f t="shared" si="10"/>
        <v/>
      </c>
      <c r="Q46" s="216" t="str">
        <f t="shared" si="11"/>
        <v/>
      </c>
      <c r="R46" s="216" t="str">
        <f t="shared" si="12"/>
        <v/>
      </c>
      <c r="S46" s="217"/>
      <c r="T46" s="216" t="str">
        <f t="shared" si="6"/>
        <v/>
      </c>
      <c r="U46" s="214" t="str">
        <f t="shared" si="7"/>
        <v/>
      </c>
      <c r="V46" s="214" t="str">
        <f t="shared" si="8"/>
        <v/>
      </c>
      <c r="W46" s="2"/>
      <c r="X46" s="2"/>
      <c r="Y46" s="2"/>
      <c r="Z46" s="2"/>
      <c r="AA46" s="2"/>
      <c r="AB46" s="2"/>
      <c r="AC46" s="2"/>
      <c r="AD46" s="2"/>
      <c r="AE46" s="2"/>
      <c r="AF46" s="187"/>
      <c r="AG46" s="187"/>
      <c r="AH46" s="187"/>
    </row>
    <row r="47" ht="14.25" customHeight="1">
      <c r="A47" s="259"/>
      <c r="B47" s="260"/>
      <c r="C47" s="261" t="s">
        <v>195</v>
      </c>
      <c r="D47" s="262">
        <v>8.0</v>
      </c>
      <c r="E47" s="281" t="s">
        <v>127</v>
      </c>
      <c r="F47" s="276">
        <v>1.0</v>
      </c>
      <c r="G47" s="265">
        <v>23.0</v>
      </c>
      <c r="H47" s="265">
        <v>4.0</v>
      </c>
      <c r="I47" s="266"/>
      <c r="J47" s="267" t="s">
        <v>196</v>
      </c>
      <c r="K47" s="237">
        <f>IFERROR(IF(OR(F47=0,D47=0,F47="",D47=""),"",ROUNDUP('2. Расчет трудозатрат'!$D47/8*$N$4/'2. Расчет трудозатрат'!$F47,0)),"ПРОВЕРЬ ЦИФРЫ")</f>
        <v>1</v>
      </c>
      <c r="L47" s="238" t="s">
        <v>104</v>
      </c>
      <c r="M47" s="214"/>
      <c r="N47" s="230"/>
      <c r="O47" s="214"/>
      <c r="P47" s="216" t="str">
        <f t="shared" si="10"/>
        <v>УКАЖИ РОЛЬ</v>
      </c>
      <c r="Q47" s="216" t="str">
        <f t="shared" si="11"/>
        <v>ПРОВЕРЬ ЦИФРЫ</v>
      </c>
      <c r="R47" s="216" t="str">
        <f t="shared" si="12"/>
        <v>#VALUE!</v>
      </c>
      <c r="S47" s="217" t="s">
        <v>105</v>
      </c>
      <c r="T47" s="216" t="str">
        <f t="shared" si="6"/>
        <v>DevOps Развертывание в production-окружении</v>
      </c>
      <c r="U47" s="280" t="str">
        <f t="shared" si="7"/>
        <v>DevOps</v>
      </c>
      <c r="V47" s="214">
        <f t="shared" si="8"/>
        <v>8</v>
      </c>
      <c r="W47" s="2"/>
      <c r="X47" s="2"/>
      <c r="Y47" s="2"/>
      <c r="Z47" s="2"/>
      <c r="AA47" s="2"/>
      <c r="AB47" s="2"/>
      <c r="AC47" s="2"/>
      <c r="AD47" s="2"/>
      <c r="AE47" s="2"/>
      <c r="AF47" s="187"/>
      <c r="AG47" s="187"/>
      <c r="AH47" s="187"/>
    </row>
    <row r="48" ht="14.25" customHeight="1">
      <c r="A48" s="251"/>
      <c r="B48" s="274"/>
      <c r="C48" s="253" t="s">
        <v>197</v>
      </c>
      <c r="D48" s="254">
        <v>32.0</v>
      </c>
      <c r="E48" s="285" t="s">
        <v>118</v>
      </c>
      <c r="F48" s="256">
        <v>1.0</v>
      </c>
      <c r="G48" s="257">
        <v>16.0</v>
      </c>
      <c r="H48" s="257">
        <v>4.0</v>
      </c>
      <c r="I48" s="268"/>
      <c r="J48" s="258" t="s">
        <v>198</v>
      </c>
      <c r="K48" s="244">
        <f>IFERROR(IF(OR(F48=0,D48=0,F48="",D48=""),"",ROUNDUP('2. Расчет трудозатрат'!$D48/8*$N$4/'2. Расчет трудозатрат'!$F48,0)),"ПРОВЕРЬ ЦИФРЫ")</f>
        <v>4</v>
      </c>
      <c r="L48" s="245" t="s">
        <v>104</v>
      </c>
      <c r="M48" s="214"/>
      <c r="N48" s="230"/>
      <c r="O48" s="214"/>
      <c r="P48" s="216" t="str">
        <f t="shared" si="10"/>
        <v>УКАЖИ РОЛЬ</v>
      </c>
      <c r="Q48" s="216" t="str">
        <f t="shared" si="11"/>
        <v>ПРОВЕРЬ ЦИФРЫ</v>
      </c>
      <c r="R48" s="216" t="str">
        <f t="shared" si="12"/>
        <v>#VALUE!</v>
      </c>
      <c r="S48" s="217" t="s">
        <v>105</v>
      </c>
      <c r="T48" s="216" t="str">
        <f t="shared" si="6"/>
        <v>Analytics Busines Подготовка технической и пользовательской документации</v>
      </c>
      <c r="U48" s="280" t="str">
        <f t="shared" si="7"/>
        <v>Analytics Busines</v>
      </c>
      <c r="V48" s="214">
        <f t="shared" si="8"/>
        <v>32</v>
      </c>
      <c r="W48" s="2"/>
      <c r="X48" s="2"/>
      <c r="Y48" s="2"/>
      <c r="Z48" s="2"/>
      <c r="AA48" s="2"/>
      <c r="AB48" s="2"/>
      <c r="AC48" s="2"/>
      <c r="AD48" s="2"/>
      <c r="AE48" s="2"/>
      <c r="AF48" s="187"/>
      <c r="AG48" s="187"/>
      <c r="AH48" s="187"/>
    </row>
    <row r="49" ht="14.25" customHeight="1">
      <c r="A49" s="259"/>
      <c r="B49" s="273"/>
      <c r="C49" s="261" t="s">
        <v>199</v>
      </c>
      <c r="D49" s="262">
        <v>16.0</v>
      </c>
      <c r="E49" s="286" t="s">
        <v>200</v>
      </c>
      <c r="F49" s="264">
        <v>1.0</v>
      </c>
      <c r="G49" s="265">
        <v>32.0</v>
      </c>
      <c r="H49" s="265">
        <v>4.0</v>
      </c>
      <c r="I49" s="266"/>
      <c r="J49" s="267" t="s">
        <v>201</v>
      </c>
      <c r="K49" s="237">
        <f>IFERROR(IF(OR(F49=0,D49=0,F49="",D49=""),"",ROUNDUP('2. Расчет трудозатрат'!$D49/8*$N$4/'2. Расчет трудозатрат'!$F49,0)),"ПРОВЕРЬ ЦИФРЫ")</f>
        <v>2</v>
      </c>
      <c r="L49" s="238" t="s">
        <v>104</v>
      </c>
      <c r="M49" s="214"/>
      <c r="N49" s="230"/>
      <c r="O49" s="214"/>
      <c r="P49" s="216" t="str">
        <f t="shared" si="10"/>
        <v>УКАЖИ РОЛЬ</v>
      </c>
      <c r="Q49" s="216" t="str">
        <f t="shared" si="11"/>
        <v>ПРОВЕРЬ ЦИФРЫ</v>
      </c>
      <c r="R49" s="216" t="str">
        <f t="shared" si="12"/>
        <v>#VALUE!</v>
      </c>
      <c r="S49" s="217" t="s">
        <v>105</v>
      </c>
      <c r="T49" s="216" t="str">
        <f t="shared" si="6"/>
        <v>Product Демонстрация и передача проекта Заказчику</v>
      </c>
      <c r="U49" s="280" t="str">
        <f t="shared" si="7"/>
        <v>Product</v>
      </c>
      <c r="V49" s="214">
        <f t="shared" si="8"/>
        <v>16</v>
      </c>
      <c r="W49" s="2"/>
      <c r="X49" s="2"/>
      <c r="Y49" s="2"/>
      <c r="Z49" s="2"/>
      <c r="AA49" s="2"/>
      <c r="AB49" s="2"/>
      <c r="AC49" s="2"/>
      <c r="AD49" s="2"/>
      <c r="AE49" s="2"/>
      <c r="AF49" s="187"/>
      <c r="AG49" s="187"/>
      <c r="AH49" s="187"/>
    </row>
    <row r="50" ht="14.25" customHeight="1">
      <c r="A50" s="287"/>
      <c r="B50" s="240" t="s">
        <v>102</v>
      </c>
      <c r="C50" s="288"/>
      <c r="D50" s="241"/>
      <c r="E50" s="289"/>
      <c r="F50" s="290"/>
      <c r="G50" s="241">
        <v>24.0</v>
      </c>
      <c r="H50" s="241"/>
      <c r="I50" s="291"/>
      <c r="J50" s="291"/>
      <c r="K50" s="244"/>
      <c r="L50" s="245"/>
      <c r="M50" s="214"/>
      <c r="N50" s="230"/>
      <c r="O50" s="214"/>
      <c r="P50" s="216" t="str">
        <f t="shared" si="10"/>
        <v/>
      </c>
      <c r="Q50" s="216" t="str">
        <f t="shared" si="11"/>
        <v/>
      </c>
      <c r="R50" s="216" t="str">
        <f t="shared" si="12"/>
        <v/>
      </c>
      <c r="S50" s="217"/>
      <c r="T50" s="216" t="str">
        <f t="shared" si="6"/>
        <v/>
      </c>
      <c r="U50" s="214" t="str">
        <f t="shared" si="7"/>
        <v/>
      </c>
      <c r="V50" s="214" t="str">
        <f t="shared" si="8"/>
        <v/>
      </c>
      <c r="W50" s="2"/>
      <c r="X50" s="2"/>
      <c r="Y50" s="2"/>
      <c r="Z50" s="2"/>
      <c r="AA50" s="2"/>
      <c r="AB50" s="2"/>
      <c r="AC50" s="2"/>
      <c r="AD50" s="2"/>
      <c r="AE50" s="2"/>
      <c r="AF50" s="187"/>
      <c r="AG50" s="187"/>
      <c r="AH50" s="187"/>
    </row>
    <row r="51" ht="14.25" customHeight="1">
      <c r="A51" s="259"/>
      <c r="B51" s="260"/>
      <c r="C51" s="248" t="s">
        <v>202</v>
      </c>
      <c r="D51" s="233">
        <v>16.0</v>
      </c>
      <c r="E51" s="292" t="s">
        <v>114</v>
      </c>
      <c r="F51" s="269">
        <v>1.0</v>
      </c>
      <c r="G51" s="233">
        <v>33.0</v>
      </c>
      <c r="H51" s="233">
        <v>5.0</v>
      </c>
      <c r="I51" s="293"/>
      <c r="J51" s="293"/>
      <c r="K51" s="237">
        <f>IFERROR(IF(OR(F51=0,D51=0,F51="",D51=""),"",ROUNDUP('2. Расчет трудозатрат'!$D51/8*$N$4/'2. Расчет трудозатрат'!$F51,0)),"ПРОВЕРЬ ЦИФРЫ")</f>
        <v>2</v>
      </c>
      <c r="L51" s="238" t="s">
        <v>104</v>
      </c>
      <c r="M51" s="214"/>
      <c r="N51" s="230"/>
      <c r="O51" s="214"/>
      <c r="P51" s="216" t="str">
        <f t="shared" si="10"/>
        <v>УКАЖИ РОЛЬ</v>
      </c>
      <c r="Q51" s="216" t="str">
        <f t="shared" si="11"/>
        <v>ПРОВЕРЬ ЦИФРЫ</v>
      </c>
      <c r="R51" s="216" t="str">
        <f t="shared" si="12"/>
        <v>#VALUE!</v>
      </c>
      <c r="S51" s="217" t="s">
        <v>105</v>
      </c>
      <c r="T51" s="216" t="str">
        <f t="shared" si="6"/>
        <v>DSLead Коммуникации (детализация, daily, weekly)</v>
      </c>
      <c r="U51" s="214" t="str">
        <f t="shared" si="7"/>
        <v>DSLead</v>
      </c>
      <c r="V51" s="280">
        <f t="shared" si="8"/>
        <v>16</v>
      </c>
      <c r="W51" s="2"/>
      <c r="X51" s="2"/>
      <c r="Y51" s="2"/>
      <c r="Z51" s="2"/>
      <c r="AA51" s="2"/>
      <c r="AB51" s="2"/>
      <c r="AC51" s="2"/>
      <c r="AD51" s="2"/>
      <c r="AE51" s="2"/>
      <c r="AF51" s="187"/>
      <c r="AG51" s="187"/>
      <c r="AH51" s="187"/>
    </row>
    <row r="52" ht="14.25" customHeight="1">
      <c r="A52" s="251"/>
      <c r="B52" s="274"/>
      <c r="C52" s="288" t="s">
        <v>202</v>
      </c>
      <c r="D52" s="241">
        <v>16.0</v>
      </c>
      <c r="E52" s="289" t="s">
        <v>203</v>
      </c>
      <c r="F52" s="290">
        <v>1.0</v>
      </c>
      <c r="G52" s="241">
        <v>33.0</v>
      </c>
      <c r="H52" s="241">
        <v>5.0</v>
      </c>
      <c r="I52" s="291"/>
      <c r="J52" s="291"/>
      <c r="K52" s="244">
        <f>IFERROR(IF(OR(F52=0,D52=0,F52="",D52=""),"",ROUNDUP('2. Расчет трудозатрат'!$D52/8*$N$4/'2. Расчет трудозатрат'!$F52,0)),"ПРОВЕРЬ ЦИФРЫ")</f>
        <v>2</v>
      </c>
      <c r="L52" s="245" t="s">
        <v>104</v>
      </c>
      <c r="M52" s="214"/>
      <c r="N52" s="230"/>
      <c r="O52" s="214"/>
      <c r="P52" s="216" t="str">
        <f t="shared" si="10"/>
        <v>УКАЖИ РОЛЬ</v>
      </c>
      <c r="Q52" s="216" t="str">
        <f t="shared" si="11"/>
        <v>ПРОВЕРЬ ЦИФРЫ</v>
      </c>
      <c r="R52" s="216" t="str">
        <f t="shared" si="12"/>
        <v>#VALUE!</v>
      </c>
      <c r="S52" s="217" t="s">
        <v>105</v>
      </c>
      <c r="T52" s="216" t="str">
        <f t="shared" si="6"/>
        <v>Development Коммуникации (детализация, daily, weekly)</v>
      </c>
      <c r="U52" s="214" t="str">
        <f t="shared" si="7"/>
        <v>Development</v>
      </c>
      <c r="V52" s="280">
        <f t="shared" si="8"/>
        <v>16</v>
      </c>
      <c r="W52" s="2"/>
      <c r="X52" s="2"/>
      <c r="Y52" s="2"/>
      <c r="Z52" s="2"/>
      <c r="AA52" s="2"/>
      <c r="AB52" s="2"/>
      <c r="AC52" s="2"/>
      <c r="AD52" s="2"/>
      <c r="AE52" s="2"/>
      <c r="AF52" s="187"/>
      <c r="AG52" s="187"/>
      <c r="AH52" s="187"/>
    </row>
    <row r="53" ht="14.25" customHeight="1">
      <c r="A53" s="259"/>
      <c r="B53" s="273"/>
      <c r="C53" s="248" t="s">
        <v>202</v>
      </c>
      <c r="D53" s="233">
        <v>16.0</v>
      </c>
      <c r="E53" s="292" t="s">
        <v>130</v>
      </c>
      <c r="F53" s="269">
        <v>1.0</v>
      </c>
      <c r="G53" s="233">
        <v>33.0</v>
      </c>
      <c r="H53" s="233">
        <v>5.0</v>
      </c>
      <c r="I53" s="293"/>
      <c r="J53" s="293"/>
      <c r="K53" s="237">
        <f>IFERROR(IF(OR(F53=0,D53=0,F53="",D53=""),"",ROUNDUP('2. Расчет трудозатрат'!$D53/8*$N$4/'2. Расчет трудозатрат'!$F53,0)),"ПРОВЕРЬ ЦИФРЫ")</f>
        <v>2</v>
      </c>
      <c r="L53" s="238" t="s">
        <v>104</v>
      </c>
      <c r="M53" s="214"/>
      <c r="N53" s="230"/>
      <c r="O53" s="214"/>
      <c r="P53" s="216" t="str">
        <f t="shared" si="10"/>
        <v>УКАЖИ РОЛЬ</v>
      </c>
      <c r="Q53" s="216" t="str">
        <f t="shared" si="11"/>
        <v>ПРОВЕРЬ ЦИФРЫ</v>
      </c>
      <c r="R53" s="216" t="str">
        <f t="shared" si="12"/>
        <v>#VALUE!</v>
      </c>
      <c r="S53" s="217" t="s">
        <v>105</v>
      </c>
      <c r="T53" s="216" t="str">
        <f t="shared" si="6"/>
        <v>DS/Ai/ML Коммуникации (детализация, daily, weekly)</v>
      </c>
      <c r="U53" s="214" t="str">
        <f t="shared" si="7"/>
        <v>DS/Ai/ML</v>
      </c>
      <c r="V53" s="280">
        <f t="shared" si="8"/>
        <v>16</v>
      </c>
      <c r="W53" s="2"/>
      <c r="X53" s="2"/>
      <c r="Y53" s="2"/>
      <c r="Z53" s="2"/>
      <c r="AA53" s="2"/>
      <c r="AB53" s="2"/>
      <c r="AC53" s="2"/>
      <c r="AD53" s="2"/>
      <c r="AE53" s="2"/>
      <c r="AF53" s="187"/>
      <c r="AG53" s="187"/>
      <c r="AH53" s="187"/>
    </row>
    <row r="54" ht="14.25" customHeight="1">
      <c r="A54" s="251"/>
      <c r="B54" s="274"/>
      <c r="C54" s="288" t="s">
        <v>202</v>
      </c>
      <c r="D54" s="241">
        <v>2.0</v>
      </c>
      <c r="E54" s="289" t="s">
        <v>127</v>
      </c>
      <c r="F54" s="290">
        <v>1.0</v>
      </c>
      <c r="G54" s="241">
        <v>33.0</v>
      </c>
      <c r="H54" s="241">
        <v>5.0</v>
      </c>
      <c r="I54" s="291"/>
      <c r="J54" s="291"/>
      <c r="K54" s="244">
        <f>IFERROR(IF(OR(F54=0,D54=0,F54="",D54=""),"",ROUNDUP('2. Расчет трудозатрат'!$D54/8*$N$4/'2. Расчет трудозатрат'!$F54,0)),"ПРОВЕРЬ ЦИФРЫ")</f>
        <v>1</v>
      </c>
      <c r="L54" s="245" t="s">
        <v>104</v>
      </c>
      <c r="M54" s="214"/>
      <c r="N54" s="230"/>
      <c r="O54" s="214"/>
      <c r="P54" s="216" t="str">
        <f t="shared" si="10"/>
        <v>УКАЖИ РОЛЬ</v>
      </c>
      <c r="Q54" s="216" t="str">
        <f t="shared" si="11"/>
        <v>ПРОВЕРЬ ЦИФРЫ</v>
      </c>
      <c r="R54" s="216" t="str">
        <f t="shared" si="12"/>
        <v>#VALUE!</v>
      </c>
      <c r="S54" s="217" t="s">
        <v>105</v>
      </c>
      <c r="T54" s="216" t="str">
        <f t="shared" si="6"/>
        <v>DevOps Коммуникации (детализация, daily, weekly)</v>
      </c>
      <c r="U54" s="214" t="str">
        <f t="shared" si="7"/>
        <v>DevOps</v>
      </c>
      <c r="V54" s="280">
        <f t="shared" si="8"/>
        <v>2</v>
      </c>
      <c r="W54" s="2"/>
      <c r="X54" s="2"/>
      <c r="Y54" s="2"/>
      <c r="Z54" s="2"/>
      <c r="AA54" s="2"/>
      <c r="AB54" s="2"/>
      <c r="AC54" s="2"/>
      <c r="AD54" s="2"/>
      <c r="AE54" s="2"/>
      <c r="AF54" s="187"/>
      <c r="AG54" s="187"/>
      <c r="AH54" s="187"/>
    </row>
    <row r="55" ht="14.25" customHeight="1">
      <c r="A55" s="259"/>
      <c r="B55" s="273"/>
      <c r="C55" s="248" t="s">
        <v>202</v>
      </c>
      <c r="D55" s="233">
        <v>16.0</v>
      </c>
      <c r="E55" s="292" t="s">
        <v>180</v>
      </c>
      <c r="F55" s="269">
        <v>1.0</v>
      </c>
      <c r="G55" s="233">
        <v>33.0</v>
      </c>
      <c r="H55" s="233">
        <v>5.0</v>
      </c>
      <c r="I55" s="293"/>
      <c r="J55" s="293"/>
      <c r="K55" s="237">
        <f>IFERROR(IF(OR(F55=0,D55=0,F55="",D55=""),"",ROUNDUP('2. Расчет трудозатрат'!$D55/8*$N$4/'2. Расчет трудозатрат'!$F55,0)),"ПРОВЕРЬ ЦИФРЫ")</f>
        <v>2</v>
      </c>
      <c r="L55" s="238" t="s">
        <v>104</v>
      </c>
      <c r="M55" s="214"/>
      <c r="N55" s="230"/>
      <c r="O55" s="214"/>
      <c r="P55" s="216" t="str">
        <f t="shared" si="10"/>
        <v>УКАЖИ РОЛЬ</v>
      </c>
      <c r="Q55" s="216" t="str">
        <f t="shared" si="11"/>
        <v>ПРОВЕРЬ ЦИФРЫ</v>
      </c>
      <c r="R55" s="216" t="str">
        <f t="shared" si="12"/>
        <v>#VALUE!</v>
      </c>
      <c r="S55" s="217" t="s">
        <v>105</v>
      </c>
      <c r="T55" s="216" t="str">
        <f t="shared" si="6"/>
        <v>QA Коммуникации (детализация, daily, weekly)</v>
      </c>
      <c r="U55" s="214" t="str">
        <f t="shared" si="7"/>
        <v>QA</v>
      </c>
      <c r="V55" s="280">
        <f t="shared" si="8"/>
        <v>16</v>
      </c>
      <c r="W55" s="2"/>
      <c r="X55" s="2"/>
      <c r="Y55" s="2"/>
      <c r="Z55" s="2"/>
      <c r="AA55" s="2"/>
      <c r="AB55" s="2"/>
      <c r="AC55" s="2"/>
      <c r="AD55" s="2"/>
      <c r="AE55" s="2"/>
      <c r="AF55" s="187"/>
      <c r="AG55" s="187"/>
      <c r="AH55" s="187"/>
    </row>
    <row r="56" ht="14.25" customHeight="1">
      <c r="A56" s="251"/>
      <c r="B56" s="274"/>
      <c r="C56" s="288" t="s">
        <v>202</v>
      </c>
      <c r="D56" s="241">
        <v>16.0</v>
      </c>
      <c r="E56" s="289" t="s">
        <v>15</v>
      </c>
      <c r="F56" s="290">
        <v>1.0</v>
      </c>
      <c r="G56" s="241">
        <v>33.0</v>
      </c>
      <c r="H56" s="241">
        <v>5.0</v>
      </c>
      <c r="I56" s="291"/>
      <c r="J56" s="291"/>
      <c r="K56" s="244">
        <f>IFERROR(IF(OR(F56=0,D56=0,F56="",D56=""),"",ROUNDUP('2. Расчет трудозатрат'!$D56/8*$N$4/'2. Расчет трудозатрат'!$F56,0)),"ПРОВЕРЬ ЦИФРЫ")</f>
        <v>2</v>
      </c>
      <c r="L56" s="245" t="s">
        <v>104</v>
      </c>
      <c r="M56" s="214"/>
      <c r="N56" s="230"/>
      <c r="O56" s="214"/>
      <c r="P56" s="216" t="str">
        <f t="shared" si="10"/>
        <v>УКАЖИ РОЛЬ</v>
      </c>
      <c r="Q56" s="216" t="str">
        <f t="shared" si="11"/>
        <v>ПРОВЕРЬ ЦИФРЫ</v>
      </c>
      <c r="R56" s="216" t="str">
        <f t="shared" si="12"/>
        <v>#VALUE!</v>
      </c>
      <c r="S56" s="217" t="s">
        <v>105</v>
      </c>
      <c r="T56" s="216" t="str">
        <f t="shared" si="6"/>
        <v>PM Коммуникации (детализация, daily, weekly)</v>
      </c>
      <c r="U56" s="214" t="str">
        <f t="shared" si="7"/>
        <v>PM</v>
      </c>
      <c r="V56" s="280">
        <f t="shared" si="8"/>
        <v>16</v>
      </c>
      <c r="W56" s="2"/>
      <c r="X56" s="2"/>
      <c r="Y56" s="2"/>
      <c r="Z56" s="2"/>
      <c r="AA56" s="2"/>
      <c r="AB56" s="2"/>
      <c r="AC56" s="2"/>
      <c r="AD56" s="2"/>
      <c r="AE56" s="2"/>
      <c r="AF56" s="187"/>
      <c r="AG56" s="187"/>
      <c r="AH56" s="187"/>
    </row>
    <row r="57" ht="14.25" customHeight="1">
      <c r="A57" s="259"/>
      <c r="B57" s="273"/>
      <c r="C57" s="248" t="s">
        <v>202</v>
      </c>
      <c r="D57" s="233">
        <v>16.0</v>
      </c>
      <c r="E57" s="292" t="s">
        <v>17</v>
      </c>
      <c r="F57" s="269">
        <v>1.0</v>
      </c>
      <c r="G57" s="233">
        <v>33.0</v>
      </c>
      <c r="H57" s="233">
        <v>5.0</v>
      </c>
      <c r="I57" s="293"/>
      <c r="J57" s="293"/>
      <c r="K57" s="237">
        <f>IFERROR(IF(OR(F57=0,D57=0,F57="",D57=""),"",ROUNDUP('2. Расчет трудозатрат'!$D57/8*$N$4/'2. Расчет трудозатрат'!$F57,0)),"ПРОВЕРЬ ЦИФРЫ")</f>
        <v>2</v>
      </c>
      <c r="L57" s="238" t="s">
        <v>104</v>
      </c>
      <c r="M57" s="214"/>
      <c r="N57" s="230"/>
      <c r="O57" s="214"/>
      <c r="P57" s="216" t="str">
        <f t="shared" si="10"/>
        <v>УКАЖИ РОЛЬ</v>
      </c>
      <c r="Q57" s="216" t="str">
        <f t="shared" si="11"/>
        <v>ПРОВЕРЬ ЦИФРЫ</v>
      </c>
      <c r="R57" s="216" t="str">
        <f t="shared" si="12"/>
        <v>#VALUE!</v>
      </c>
      <c r="S57" s="217" t="s">
        <v>105</v>
      </c>
      <c r="T57" s="216" t="str">
        <f t="shared" si="6"/>
        <v>Architect Коммуникации (детализация, daily, weekly)</v>
      </c>
      <c r="U57" s="214" t="str">
        <f t="shared" si="7"/>
        <v>Architect</v>
      </c>
      <c r="V57" s="280">
        <f t="shared" si="8"/>
        <v>16</v>
      </c>
      <c r="W57" s="2"/>
      <c r="X57" s="2"/>
      <c r="Y57" s="2"/>
      <c r="Z57" s="2"/>
      <c r="AA57" s="2"/>
      <c r="AB57" s="2"/>
      <c r="AC57" s="2"/>
      <c r="AD57" s="2"/>
      <c r="AE57" s="2"/>
      <c r="AF57" s="187"/>
      <c r="AG57" s="187"/>
      <c r="AH57" s="187"/>
    </row>
    <row r="58" ht="14.25" customHeight="1">
      <c r="A58" s="251"/>
      <c r="B58" s="274"/>
      <c r="C58" s="288" t="s">
        <v>204</v>
      </c>
      <c r="D58" s="241">
        <v>16.0</v>
      </c>
      <c r="E58" s="289" t="s">
        <v>205</v>
      </c>
      <c r="F58" s="290">
        <v>1.0</v>
      </c>
      <c r="G58" s="241">
        <v>33.0</v>
      </c>
      <c r="H58" s="241">
        <v>5.0</v>
      </c>
      <c r="I58" s="291"/>
      <c r="J58" s="291"/>
      <c r="K58" s="244">
        <f>IFERROR(IF(OR(F58=0,D58=0,F58="",D58=""),"",ROUNDUP('2. Расчет трудозатрат'!$D58/8*$N$4/'2. Расчет трудозатрат'!$F58,0)),"ПРОВЕРЬ ЦИФРЫ")</f>
        <v>2</v>
      </c>
      <c r="L58" s="245" t="s">
        <v>104</v>
      </c>
      <c r="M58" s="214"/>
      <c r="N58" s="230"/>
      <c r="O58" s="214"/>
      <c r="P58" s="216" t="str">
        <f t="shared" si="10"/>
        <v>УКАЖИ РОЛЬ</v>
      </c>
      <c r="Q58" s="216" t="str">
        <f t="shared" si="11"/>
        <v>ПРОВЕРЬ ЦИФРЫ</v>
      </c>
      <c r="R58" s="216" t="str">
        <f t="shared" si="12"/>
        <v>#VALUE!</v>
      </c>
      <c r="S58" s="217" t="s">
        <v>105</v>
      </c>
      <c r="T58" s="216" t="str">
        <f t="shared" si="6"/>
        <v>Waste Запланированные потери на согласование</v>
      </c>
      <c r="U58" s="214" t="str">
        <f t="shared" si="7"/>
        <v>Waste</v>
      </c>
      <c r="V58" s="280">
        <f t="shared" si="8"/>
        <v>16</v>
      </c>
      <c r="W58" s="2"/>
      <c r="X58" s="2"/>
      <c r="Y58" s="2"/>
      <c r="Z58" s="2"/>
      <c r="AA58" s="2"/>
      <c r="AB58" s="2"/>
      <c r="AC58" s="2"/>
      <c r="AD58" s="2"/>
      <c r="AE58" s="2"/>
      <c r="AF58" s="187"/>
      <c r="AG58" s="187"/>
      <c r="AH58" s="187"/>
    </row>
    <row r="59" ht="14.25" customHeight="1">
      <c r="A59" s="294">
        <v>6.0</v>
      </c>
      <c r="B59" s="295"/>
      <c r="C59" s="296"/>
      <c r="D59" s="297"/>
      <c r="E59" s="298"/>
      <c r="F59" s="299"/>
      <c r="G59" s="299"/>
      <c r="H59" s="300"/>
      <c r="I59" s="301"/>
      <c r="J59" s="301"/>
      <c r="K59" s="302" t="str">
        <f>IFERROR(IF(OR(F59=0,D59=0,F59="",D59=""),"",ROUNDUP('2. Расчет трудозатрат'!$D59/8*$N$4/'2. Расчет трудозатрат'!$F59,0)),"ПРОВЕРЬ ЦИФРЫ")</f>
        <v/>
      </c>
      <c r="L59" s="303"/>
      <c r="M59" s="304"/>
      <c r="N59" s="305"/>
      <c r="O59" s="304"/>
      <c r="P59" s="306" t="str">
        <f t="shared" si="10"/>
        <v/>
      </c>
      <c r="Q59" s="307" t="str">
        <f t="shared" si="11"/>
        <v/>
      </c>
      <c r="R59" s="308" t="str">
        <f t="shared" si="12"/>
        <v/>
      </c>
      <c r="S59" s="83"/>
      <c r="T59" s="309" t="str">
        <f t="shared" si="6"/>
        <v/>
      </c>
      <c r="U59" s="310" t="str">
        <f t="shared" si="7"/>
        <v/>
      </c>
      <c r="V59" s="311" t="str">
        <f t="shared" si="8"/>
        <v/>
      </c>
      <c r="W59" s="2"/>
      <c r="X59" s="2"/>
      <c r="Y59" s="2"/>
      <c r="Z59" s="2"/>
      <c r="AA59" s="2"/>
      <c r="AB59" s="2"/>
      <c r="AC59" s="2"/>
      <c r="AD59" s="2"/>
      <c r="AE59" s="2"/>
      <c r="AF59" s="187"/>
      <c r="AG59" s="187"/>
      <c r="AH59" s="187"/>
    </row>
    <row r="60" ht="14.25" customHeight="1">
      <c r="A60" s="312"/>
      <c r="B60" s="313"/>
      <c r="C60" s="314"/>
      <c r="D60" s="315"/>
      <c r="E60" s="316"/>
      <c r="F60" s="317"/>
      <c r="G60" s="317"/>
      <c r="H60" s="318"/>
      <c r="I60" s="319"/>
      <c r="J60" s="319"/>
      <c r="K60" s="320" t="str">
        <f>IFERROR(IF(OR(F60=0,D60=0,F60="",D60=""),"",ROUNDUP('2. Расчет трудозатрат'!$D60/8*$N$4/'2. Расчет трудозатрат'!$F60,0)),"ПРОВЕРЬ ЦИФРЫ")</f>
        <v/>
      </c>
      <c r="L60" s="321"/>
      <c r="M60" s="304"/>
      <c r="N60" s="305"/>
      <c r="O60" s="304"/>
      <c r="P60" s="322" t="str">
        <f t="shared" si="10"/>
        <v/>
      </c>
      <c r="Q60" s="323" t="str">
        <f t="shared" si="11"/>
        <v/>
      </c>
      <c r="R60" s="308" t="str">
        <f t="shared" si="12"/>
        <v/>
      </c>
      <c r="S60" s="83"/>
      <c r="T60" s="324" t="str">
        <f t="shared" si="6"/>
        <v/>
      </c>
      <c r="U60" s="325" t="str">
        <f t="shared" si="7"/>
        <v/>
      </c>
      <c r="V60" s="326" t="str">
        <f t="shared" si="8"/>
        <v/>
      </c>
      <c r="W60" s="2"/>
      <c r="X60" s="2"/>
      <c r="Y60" s="2"/>
      <c r="Z60" s="2"/>
      <c r="AA60" s="2"/>
      <c r="AB60" s="2"/>
      <c r="AC60" s="2"/>
      <c r="AD60" s="2"/>
      <c r="AE60" s="2"/>
      <c r="AF60" s="187"/>
      <c r="AG60" s="187"/>
      <c r="AH60" s="187"/>
    </row>
    <row r="61" ht="14.25" customHeight="1">
      <c r="A61" s="327"/>
      <c r="B61" s="328"/>
      <c r="C61" s="329" t="s">
        <v>206</v>
      </c>
      <c r="D61" s="330">
        <f>SUM(D14:D60)</f>
        <v>854</v>
      </c>
      <c r="E61" s="331"/>
      <c r="F61" s="332" t="s">
        <v>207</v>
      </c>
      <c r="G61" s="333">
        <f>IFERROR(__xludf.DUMMYFUNCTION("COUNTUNIQUE(G14:G60)"),17.0)</f>
        <v>17</v>
      </c>
      <c r="H61" s="334" t="s">
        <v>208</v>
      </c>
      <c r="I61" s="335">
        <f>IFERROR(__xludf.DUMMYFUNCTION("COUNTUNIQUE(H14:H60)"),5.0)</f>
        <v>5</v>
      </c>
      <c r="J61" s="336" t="s">
        <v>209</v>
      </c>
      <c r="K61" s="336" t="str">
        <f>'1. Расчет проекта'!E15</f>
        <v>#REF!</v>
      </c>
      <c r="L61" s="337"/>
      <c r="M61" s="304"/>
      <c r="N61" s="305"/>
      <c r="O61" s="304"/>
      <c r="P61" s="338" t="s">
        <v>210</v>
      </c>
      <c r="Q61" s="339">
        <f t="shared" ref="Q61:R61" si="13">SUM(Q14:Q60)</f>
        <v>0</v>
      </c>
      <c r="R61" s="340" t="str">
        <f t="shared" si="13"/>
        <v>#VALUE!</v>
      </c>
      <c r="S61" s="83" t="s">
        <v>105</v>
      </c>
      <c r="T61" s="187"/>
      <c r="U61" s="2"/>
      <c r="V61" s="341">
        <f>IF(C61="","",D61)</f>
        <v>854</v>
      </c>
      <c r="W61" s="2"/>
      <c r="X61" s="2"/>
      <c r="Y61" s="2"/>
      <c r="Z61" s="2"/>
      <c r="AA61" s="2"/>
      <c r="AB61" s="2"/>
      <c r="AC61" s="2"/>
      <c r="AD61" s="2"/>
      <c r="AE61" s="2"/>
      <c r="AF61" s="187"/>
      <c r="AG61" s="187"/>
      <c r="AH61" s="187"/>
    </row>
    <row r="62" ht="14.25" customHeight="1">
      <c r="A62" s="342"/>
      <c r="B62" s="343"/>
      <c r="C62" s="344" t="s">
        <v>211</v>
      </c>
      <c r="D62" s="345" t="str">
        <f>D61+SUM(D4:D12)</f>
        <v>#REF!</v>
      </c>
      <c r="E62" s="346" t="str">
        <f>CONCATENATE("Увеличение часов на: ",ROUND(((D62/D61)-1)*100,1),"%")</f>
        <v>#REF!</v>
      </c>
      <c r="F62" s="345"/>
      <c r="G62" s="345"/>
      <c r="H62" s="345"/>
      <c r="I62" s="346"/>
      <c r="J62" s="347"/>
      <c r="K62" s="348"/>
      <c r="L62" s="349"/>
      <c r="M62" s="304"/>
      <c r="N62" s="305"/>
      <c r="O62" s="304"/>
      <c r="P62" s="2"/>
      <c r="Q62" s="350"/>
      <c r="R62" s="351"/>
      <c r="S62" s="8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187"/>
      <c r="AH62" s="187"/>
    </row>
    <row r="63" ht="14.25" customHeight="1">
      <c r="A63" s="327"/>
      <c r="B63" s="328"/>
      <c r="C63" s="329" t="s">
        <v>212</v>
      </c>
      <c r="D63" s="330" t="str">
        <f>SUM(#REF!)+SUM(D4:D12)</f>
        <v>#REF!</v>
      </c>
      <c r="E63" s="352" t="str">
        <f>CONCATENATE("Увеличение часов на: ",ROUND(((D63/D61)-1)*100,1),"%")</f>
        <v>#REF!</v>
      </c>
      <c r="F63" s="330"/>
      <c r="G63" s="330"/>
      <c r="H63" s="330"/>
      <c r="I63" s="352"/>
      <c r="J63" s="353"/>
      <c r="K63" s="336"/>
      <c r="L63" s="337"/>
      <c r="M63" s="304"/>
      <c r="N63" s="305"/>
      <c r="O63" s="304"/>
      <c r="P63" s="338" t="s">
        <v>213</v>
      </c>
      <c r="Q63" s="354" t="str">
        <f t="shared" ref="Q63:R63" si="14">Q13+Q61+#REF!</f>
        <v>#REF!</v>
      </c>
      <c r="R63" s="355" t="str">
        <f t="shared" si="14"/>
        <v>#VALUE!</v>
      </c>
      <c r="S63" s="83" t="s">
        <v>105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187"/>
    </row>
    <row r="64" ht="14.25" customHeight="1">
      <c r="A64" s="356"/>
      <c r="B64" s="357"/>
      <c r="C64" s="358"/>
      <c r="D64" s="356"/>
      <c r="E64" s="356"/>
      <c r="F64" s="356"/>
      <c r="G64" s="356"/>
      <c r="H64" s="356"/>
      <c r="I64" s="356"/>
      <c r="J64" s="356"/>
      <c r="K64" s="359"/>
      <c r="L64" s="360"/>
      <c r="M64" s="361"/>
      <c r="N64" s="362"/>
      <c r="O64" s="2"/>
      <c r="P64" s="362"/>
      <c r="Q64" s="2"/>
      <c r="R64" s="83"/>
      <c r="S64" s="8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187"/>
    </row>
    <row r="65" ht="14.25" customHeight="1">
      <c r="A65" s="363" t="s">
        <v>214</v>
      </c>
      <c r="B65" s="363"/>
      <c r="C65" s="363"/>
      <c r="D65" s="363"/>
      <c r="E65" s="363"/>
      <c r="F65" s="363"/>
      <c r="G65" s="363"/>
      <c r="H65" s="363"/>
      <c r="I65" s="363"/>
      <c r="J65" s="363"/>
      <c r="K65" s="362"/>
      <c r="L65" s="362"/>
      <c r="M65" s="364"/>
      <c r="N65" s="362"/>
      <c r="O65" s="2"/>
      <c r="P65" s="36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187"/>
    </row>
    <row r="66" ht="14.25" customHeight="1">
      <c r="A66" s="365" t="s">
        <v>83</v>
      </c>
      <c r="B66" s="366" t="s">
        <v>215</v>
      </c>
      <c r="C66" s="367" t="s">
        <v>216</v>
      </c>
      <c r="D66" s="367" t="s">
        <v>217</v>
      </c>
      <c r="E66" s="367" t="s">
        <v>87</v>
      </c>
      <c r="F66" s="368" t="s">
        <v>218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187"/>
      <c r="AE66" s="187"/>
      <c r="AF66" s="187"/>
      <c r="AG66" s="187"/>
      <c r="AH66" s="187"/>
      <c r="AI66" s="187"/>
    </row>
    <row r="67" ht="14.25" customHeight="1">
      <c r="A67" s="369">
        <v>1.0</v>
      </c>
      <c r="B67" s="370" t="s">
        <v>219</v>
      </c>
      <c r="C67" s="370" t="s">
        <v>220</v>
      </c>
      <c r="D67" s="371">
        <v>40.0</v>
      </c>
      <c r="E67" s="372" t="s">
        <v>114</v>
      </c>
      <c r="F67" s="373" t="s">
        <v>221</v>
      </c>
      <c r="G67" s="2"/>
      <c r="H67" s="37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187"/>
      <c r="AE67" s="187"/>
      <c r="AF67" s="187"/>
      <c r="AG67" s="187"/>
      <c r="AH67" s="187"/>
      <c r="AI67" s="187"/>
    </row>
    <row r="68" ht="14.25" customHeight="1">
      <c r="A68" s="375">
        <v>2.0</v>
      </c>
      <c r="B68" s="370" t="s">
        <v>222</v>
      </c>
      <c r="C68" s="370" t="s">
        <v>223</v>
      </c>
      <c r="D68" s="371">
        <v>24.0</v>
      </c>
      <c r="E68" s="372" t="s">
        <v>127</v>
      </c>
      <c r="F68" s="376" t="s">
        <v>224</v>
      </c>
      <c r="G68" s="83"/>
      <c r="H68" s="37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187"/>
      <c r="AE68" s="187"/>
      <c r="AF68" s="187"/>
      <c r="AG68" s="187"/>
      <c r="AH68" s="187"/>
      <c r="AI68" s="187"/>
    </row>
    <row r="69" ht="14.25" customHeight="1">
      <c r="A69" s="369">
        <v>3.0</v>
      </c>
      <c r="B69" s="370" t="s">
        <v>225</v>
      </c>
      <c r="C69" s="370" t="s">
        <v>226</v>
      </c>
      <c r="D69" s="371">
        <v>72.0</v>
      </c>
      <c r="E69" s="372" t="s">
        <v>15</v>
      </c>
      <c r="F69" s="373" t="s">
        <v>224</v>
      </c>
      <c r="G69" s="2"/>
      <c r="H69" s="37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187"/>
      <c r="AE69" s="187"/>
      <c r="AF69" s="187"/>
      <c r="AG69" s="187"/>
      <c r="AH69" s="187"/>
      <c r="AI69" s="187"/>
    </row>
    <row r="70" ht="14.25" customHeight="1">
      <c r="A70" s="375">
        <v>4.0</v>
      </c>
      <c r="B70" s="370" t="s">
        <v>227</v>
      </c>
      <c r="C70" s="370" t="s">
        <v>228</v>
      </c>
      <c r="D70" s="371">
        <v>48.0</v>
      </c>
      <c r="E70" s="378" t="s">
        <v>113</v>
      </c>
      <c r="F70" s="373" t="s">
        <v>224</v>
      </c>
      <c r="G70" s="83"/>
      <c r="H70" s="37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187"/>
      <c r="AE70" s="187"/>
      <c r="AF70" s="187"/>
      <c r="AG70" s="187"/>
      <c r="AH70" s="187"/>
      <c r="AI70" s="187"/>
    </row>
    <row r="71" ht="14.25" customHeight="1">
      <c r="A71" s="369">
        <v>5.0</v>
      </c>
      <c r="B71" s="370" t="s">
        <v>229</v>
      </c>
      <c r="C71" s="370" t="s">
        <v>230</v>
      </c>
      <c r="D71" s="371">
        <v>80.0</v>
      </c>
      <c r="E71" s="372" t="s">
        <v>15</v>
      </c>
      <c r="F71" s="373" t="s">
        <v>224</v>
      </c>
      <c r="G71" s="83"/>
      <c r="H71" s="37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187"/>
      <c r="AE71" s="187"/>
      <c r="AF71" s="187"/>
      <c r="AG71" s="187"/>
      <c r="AH71" s="187"/>
      <c r="AI71" s="187"/>
    </row>
    <row r="72" ht="14.25" customHeight="1">
      <c r="A72" s="375">
        <v>6.0</v>
      </c>
      <c r="B72" s="370" t="s">
        <v>231</v>
      </c>
      <c r="C72" s="370" t="s">
        <v>232</v>
      </c>
      <c r="D72" s="371">
        <v>56.0</v>
      </c>
      <c r="E72" s="372" t="s">
        <v>127</v>
      </c>
      <c r="F72" s="373" t="s">
        <v>224</v>
      </c>
      <c r="G72" s="83"/>
      <c r="H72" s="37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187"/>
      <c r="AE72" s="187"/>
      <c r="AF72" s="187"/>
      <c r="AG72" s="187"/>
      <c r="AH72" s="187"/>
      <c r="AI72" s="187"/>
    </row>
    <row r="73" ht="14.25" customHeight="1">
      <c r="A73" s="369">
        <v>7.0</v>
      </c>
      <c r="B73" s="370" t="s">
        <v>233</v>
      </c>
      <c r="C73" s="370" t="s">
        <v>234</v>
      </c>
      <c r="D73" s="371">
        <v>40.0</v>
      </c>
      <c r="E73" s="372" t="s">
        <v>114</v>
      </c>
      <c r="F73" s="373" t="s">
        <v>221</v>
      </c>
      <c r="G73" s="2"/>
      <c r="H73" s="37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187"/>
      <c r="AE73" s="187"/>
      <c r="AF73" s="187"/>
      <c r="AG73" s="187"/>
      <c r="AH73" s="187"/>
      <c r="AI73" s="187"/>
    </row>
    <row r="74" ht="14.25" customHeight="1">
      <c r="A74" s="369"/>
      <c r="B74" s="375"/>
      <c r="C74" s="375"/>
      <c r="D74" s="379"/>
      <c r="E74" s="379"/>
      <c r="F74" s="38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187"/>
      <c r="AE74" s="187"/>
      <c r="AF74" s="187"/>
      <c r="AG74" s="187"/>
      <c r="AH74" s="187"/>
      <c r="AI74" s="187"/>
    </row>
    <row r="75" ht="14.25" customHeight="1">
      <c r="A75" s="362"/>
      <c r="B75" s="381"/>
      <c r="C75" s="381"/>
      <c r="D75" s="382"/>
      <c r="E75" s="382"/>
      <c r="F75" s="362"/>
      <c r="G75" s="362"/>
      <c r="H75" s="362"/>
      <c r="I75" s="362"/>
      <c r="J75" s="362"/>
      <c r="K75" s="362"/>
      <c r="L75" s="364"/>
      <c r="M75" s="36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187"/>
      <c r="AI75" s="187"/>
    </row>
    <row r="76" ht="14.25" customHeight="1">
      <c r="A76" s="383"/>
      <c r="B76" s="384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106"/>
      <c r="N76" s="10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187"/>
      <c r="AI76" s="187"/>
    </row>
  </sheetData>
  <autoFilter ref="$A$3:$AI$74"/>
  <conditionalFormatting sqref="B66:E66">
    <cfRule type="expression" dxfId="6" priority="1">
      <formula>#REF!&lt;&gt;0</formula>
    </cfRule>
  </conditionalFormatting>
  <conditionalFormatting sqref="A66">
    <cfRule type="expression" dxfId="6" priority="2">
      <formula>#REF!&lt;&gt;0</formula>
    </cfRule>
  </conditionalFormatting>
  <conditionalFormatting sqref="F66:O66">
    <cfRule type="expression" dxfId="6" priority="3">
      <formula>#REF!&lt;&gt;0</formula>
    </cfRule>
  </conditionalFormatting>
  <conditionalFormatting sqref="E66:P66">
    <cfRule type="expression" dxfId="6" priority="4">
      <formula>#REF!&lt;&gt;0</formula>
    </cfRule>
  </conditionalFormatting>
  <conditionalFormatting sqref="F66:V66">
    <cfRule type="expression" dxfId="6" priority="5">
      <formula>#REF!&lt;&gt;0</formula>
    </cfRule>
  </conditionalFormatting>
  <conditionalFormatting sqref="G67:G74 I67:T74 U67:U76 V67:V74 H74">
    <cfRule type="containsText" dxfId="7" priority="6" operator="containsText" text="Исключен">
      <formula>NOT(ISERROR(SEARCH(("Исключен"),(G67))))</formula>
    </cfRule>
  </conditionalFormatting>
  <conditionalFormatting sqref="G67:G74 I67:T74 U67:U76 V67:V74 H74">
    <cfRule type="cellIs" dxfId="8" priority="7" operator="equal">
      <formula>"Подтвержден"</formula>
    </cfRule>
  </conditionalFormatting>
  <conditionalFormatting sqref="G67:G74 I67:T74 U67:U76 V67:V74 H7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ErrorMessage="1" sqref="H67:H73 F67:F74">
      <formula1>"Подтвержден,Исключен"</formula1>
    </dataValidation>
    <dataValidation type="list" allowBlank="1" showErrorMessage="1" sqref="E4:E60 E67:E74">
      <formula1>'7. Ставки'!$C$3:$C$19</formula1>
    </dataValidation>
    <dataValidation type="list" allowBlank="1" showErrorMessage="1" sqref="L4:L60">
      <formula1>"Нет,Да"</formula1>
    </dataValidation>
    <dataValidation type="decimal" operator="greaterThanOrEqual" allowBlank="1" showDropDown="1" showErrorMessage="1" sqref="I4:I6 I8:I12 D4:D15 D21 D39 D46 D50:D60 F4:G60">
      <formula1>0.0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2.71"/>
    <col customWidth="1" min="3" max="3" width="107.71"/>
    <col customWidth="1" min="4" max="4" width="14.29"/>
    <col customWidth="1" hidden="1" min="5" max="5" width="13.14"/>
    <col customWidth="1" min="6" max="6" width="14.14"/>
    <col customWidth="1" min="7" max="7" width="37.71"/>
    <col customWidth="1" min="8" max="8" width="19.43"/>
    <col customWidth="1" min="9" max="27" width="8.71"/>
  </cols>
  <sheetData>
    <row r="1" ht="48.0" customHeight="1">
      <c r="A1" s="385" t="s">
        <v>83</v>
      </c>
      <c r="B1" s="385" t="s">
        <v>235</v>
      </c>
      <c r="C1" s="385" t="s">
        <v>236</v>
      </c>
      <c r="D1" s="385" t="s">
        <v>237</v>
      </c>
      <c r="E1" s="386" t="s">
        <v>238</v>
      </c>
      <c r="F1" s="387" t="s">
        <v>239</v>
      </c>
      <c r="G1" s="385" t="s">
        <v>240</v>
      </c>
      <c r="H1" s="388" t="s">
        <v>241</v>
      </c>
    </row>
    <row r="2">
      <c r="A2" s="389">
        <v>1.0</v>
      </c>
      <c r="B2" s="390" t="s">
        <v>242</v>
      </c>
      <c r="C2" s="391" t="s">
        <v>243</v>
      </c>
      <c r="D2" s="392" t="s">
        <v>244</v>
      </c>
      <c r="E2" s="389">
        <f t="shared" ref="E2:E3" si="1">IF(D2="Высокий",20,IF(D2="Средний",15,0))</f>
        <v>0</v>
      </c>
      <c r="F2" s="393">
        <f>IFS(D2="Отсутствует",0%, D2="Низкий",3%, D2="Средний",5%, D2="Высокий",9%, TRUE,"")</f>
        <v>0.03</v>
      </c>
      <c r="G2" s="394"/>
      <c r="H2" s="395" t="s">
        <v>245</v>
      </c>
    </row>
    <row r="3">
      <c r="A3" s="389">
        <v>2.0</v>
      </c>
      <c r="B3" s="396" t="s">
        <v>246</v>
      </c>
      <c r="C3" s="397" t="s">
        <v>247</v>
      </c>
      <c r="D3" s="392" t="s">
        <v>244</v>
      </c>
      <c r="E3" s="389">
        <f t="shared" si="1"/>
        <v>0</v>
      </c>
      <c r="F3" s="398">
        <v>0.0</v>
      </c>
      <c r="G3" s="394"/>
      <c r="H3" s="395" t="s">
        <v>248</v>
      </c>
    </row>
    <row r="4" ht="14.25" customHeight="1">
      <c r="A4" s="389">
        <v>3.0</v>
      </c>
      <c r="B4" s="399" t="s">
        <v>249</v>
      </c>
      <c r="C4" s="400" t="s">
        <v>250</v>
      </c>
      <c r="D4" s="392" t="s">
        <v>244</v>
      </c>
      <c r="E4" s="389"/>
      <c r="F4" s="398">
        <v>0.0</v>
      </c>
      <c r="G4" s="394"/>
      <c r="H4" s="395" t="s">
        <v>245</v>
      </c>
    </row>
    <row r="5">
      <c r="A5" s="389">
        <v>4.0</v>
      </c>
      <c r="B5" s="396" t="s">
        <v>251</v>
      </c>
      <c r="C5" s="400" t="s">
        <v>252</v>
      </c>
      <c r="D5" s="392" t="s">
        <v>244</v>
      </c>
      <c r="E5" s="389">
        <f t="shared" ref="E5:E7" si="2">IF(D5="Высокий",20,IF(D5="Средний",15,0))</f>
        <v>0</v>
      </c>
      <c r="F5" s="393">
        <f t="shared" ref="F5:F8" si="3">IFS(D5="Отсутствует",0%, D5="Низкий",3%, D5="Средний",5%, D5="Высокий",9%, TRUE,"")</f>
        <v>0.03</v>
      </c>
      <c r="G5" s="401"/>
      <c r="H5" s="395" t="s">
        <v>253</v>
      </c>
    </row>
    <row r="6">
      <c r="A6" s="389">
        <v>5.0</v>
      </c>
      <c r="B6" s="399" t="s">
        <v>254</v>
      </c>
      <c r="C6" s="397" t="s">
        <v>255</v>
      </c>
      <c r="D6" s="392" t="s">
        <v>244</v>
      </c>
      <c r="E6" s="389">
        <f t="shared" si="2"/>
        <v>0</v>
      </c>
      <c r="F6" s="393">
        <f t="shared" si="3"/>
        <v>0.03</v>
      </c>
      <c r="G6" s="401"/>
      <c r="H6" s="395" t="s">
        <v>248</v>
      </c>
    </row>
    <row r="7" ht="14.25" customHeight="1">
      <c r="A7" s="389">
        <v>6.0</v>
      </c>
      <c r="B7" s="396" t="s">
        <v>256</v>
      </c>
      <c r="C7" s="397" t="s">
        <v>257</v>
      </c>
      <c r="D7" s="392" t="s">
        <v>258</v>
      </c>
      <c r="E7" s="389">
        <f t="shared" si="2"/>
        <v>0</v>
      </c>
      <c r="F7" s="393">
        <f t="shared" si="3"/>
        <v>0</v>
      </c>
      <c r="G7" s="401"/>
      <c r="H7" s="402" t="s">
        <v>259</v>
      </c>
    </row>
    <row r="8" ht="14.25" customHeight="1">
      <c r="A8" s="389">
        <v>7.0</v>
      </c>
      <c r="B8" s="399" t="s">
        <v>260</v>
      </c>
      <c r="C8" s="397" t="s">
        <v>261</v>
      </c>
      <c r="D8" s="392" t="s">
        <v>244</v>
      </c>
      <c r="E8" s="389"/>
      <c r="F8" s="393">
        <f t="shared" si="3"/>
        <v>0.03</v>
      </c>
      <c r="G8" s="401"/>
      <c r="H8" s="402" t="s">
        <v>259</v>
      </c>
    </row>
    <row r="9" ht="14.25" customHeight="1">
      <c r="A9" s="389">
        <v>8.0</v>
      </c>
      <c r="B9" s="396" t="s">
        <v>262</v>
      </c>
      <c r="C9" s="397" t="s">
        <v>263</v>
      </c>
      <c r="D9" s="392" t="s">
        <v>264</v>
      </c>
      <c r="E9" s="389">
        <f>IF(D9="Высокий",15,IF(D9="Средний",10,0))</f>
        <v>10</v>
      </c>
      <c r="F9" s="398">
        <v>0.0</v>
      </c>
      <c r="G9" s="394"/>
      <c r="H9" s="395" t="s">
        <v>248</v>
      </c>
    </row>
    <row r="10" ht="14.25" customHeight="1">
      <c r="A10" s="389">
        <v>9.0</v>
      </c>
      <c r="B10" s="399" t="s">
        <v>265</v>
      </c>
      <c r="C10" s="397" t="s">
        <v>266</v>
      </c>
      <c r="D10" s="392" t="s">
        <v>258</v>
      </c>
      <c r="E10" s="389"/>
      <c r="F10" s="393">
        <f t="shared" ref="F10:F14" si="4">IFS(D10="Отсутствует",0%, D10="Низкий",3%, D10="Средний",5%, D10="Высокий",9%, TRUE,"")</f>
        <v>0</v>
      </c>
      <c r="G10" s="401"/>
      <c r="H10" s="402" t="s">
        <v>253</v>
      </c>
    </row>
    <row r="11" ht="14.25" customHeight="1">
      <c r="A11" s="389">
        <v>10.0</v>
      </c>
      <c r="B11" s="396" t="s">
        <v>267</v>
      </c>
      <c r="C11" s="397" t="s">
        <v>268</v>
      </c>
      <c r="D11" s="392" t="s">
        <v>258</v>
      </c>
      <c r="E11" s="389">
        <f>IF(D11="Высокий",15,IF(D11="Средний",10,0))</f>
        <v>0</v>
      </c>
      <c r="F11" s="393">
        <f t="shared" si="4"/>
        <v>0</v>
      </c>
      <c r="G11" s="401"/>
      <c r="H11" s="395" t="s">
        <v>253</v>
      </c>
    </row>
    <row r="12" ht="14.25" customHeight="1">
      <c r="A12" s="389">
        <v>11.0</v>
      </c>
      <c r="B12" s="396" t="s">
        <v>269</v>
      </c>
      <c r="C12" s="397" t="s">
        <v>270</v>
      </c>
      <c r="D12" s="392" t="s">
        <v>258</v>
      </c>
      <c r="E12" s="389">
        <f t="shared" ref="E12:E14" si="5">IF(D12="Высокий",10,IF(D12="Средний",6,0))</f>
        <v>0</v>
      </c>
      <c r="F12" s="393">
        <f t="shared" si="4"/>
        <v>0</v>
      </c>
      <c r="G12" s="401"/>
      <c r="H12" s="395" t="s">
        <v>253</v>
      </c>
    </row>
    <row r="13" ht="14.25" customHeight="1">
      <c r="A13" s="389">
        <v>12.0</v>
      </c>
      <c r="B13" s="399" t="s">
        <v>271</v>
      </c>
      <c r="C13" s="397" t="s">
        <v>272</v>
      </c>
      <c r="D13" s="392" t="s">
        <v>244</v>
      </c>
      <c r="E13" s="389">
        <f t="shared" si="5"/>
        <v>0</v>
      </c>
      <c r="F13" s="393">
        <f t="shared" si="4"/>
        <v>0.03</v>
      </c>
      <c r="G13" s="401"/>
      <c r="H13" s="395" t="s">
        <v>253</v>
      </c>
    </row>
    <row r="14" ht="14.25" customHeight="1">
      <c r="A14" s="389">
        <v>13.0</v>
      </c>
      <c r="B14" s="396" t="s">
        <v>273</v>
      </c>
      <c r="C14" s="397" t="s">
        <v>274</v>
      </c>
      <c r="D14" s="392" t="s">
        <v>258</v>
      </c>
      <c r="E14" s="389">
        <f t="shared" si="5"/>
        <v>0</v>
      </c>
      <c r="F14" s="393">
        <f t="shared" si="4"/>
        <v>0</v>
      </c>
      <c r="G14" s="401"/>
      <c r="H14" s="395" t="s">
        <v>253</v>
      </c>
    </row>
    <row r="15" ht="14.25" customHeight="1">
      <c r="A15" s="2"/>
      <c r="B15" s="2"/>
      <c r="C15" s="403" t="s">
        <v>275</v>
      </c>
      <c r="D15" s="404" t="str">
        <f>IFS(
   F15=0%, "Отсутствует",
   F15&lt;15%, "Низкий",
   F15&lt;30%, "Средний",
   F15&lt;60%, "Высокий",
   F15&gt;=50%, "Катастрофа",
   TRUE, ""
)</f>
        <v>Средний</v>
      </c>
      <c r="E15" s="405">
        <f t="shared" ref="E15:F15" si="6">SUM(E2:E14)</f>
        <v>10</v>
      </c>
      <c r="F15" s="406">
        <f t="shared" si="6"/>
        <v>0.15</v>
      </c>
      <c r="G15" s="407"/>
    </row>
    <row r="16" ht="14.25" customHeight="1">
      <c r="C16" s="408"/>
    </row>
    <row r="17" ht="14.25" customHeight="1">
      <c r="C17" s="408"/>
    </row>
    <row r="18" ht="14.25" customHeight="1">
      <c r="C18" s="408"/>
    </row>
    <row r="19" ht="14.25" customHeight="1">
      <c r="C19" s="408"/>
    </row>
    <row r="20" ht="14.25" customHeight="1">
      <c r="C20" s="408"/>
    </row>
    <row r="21" ht="14.25" customHeight="1">
      <c r="C21" s="408"/>
    </row>
    <row r="22" ht="14.25" customHeight="1">
      <c r="C22" s="408"/>
    </row>
    <row r="23" ht="14.25" customHeight="1">
      <c r="C23" s="408"/>
    </row>
    <row r="24" ht="14.25" customHeight="1">
      <c r="C24" s="408"/>
    </row>
    <row r="25" ht="14.25" customHeight="1">
      <c r="C25" s="408"/>
    </row>
    <row r="26" ht="14.25" customHeight="1">
      <c r="C26" s="408"/>
    </row>
    <row r="27" ht="14.25" customHeight="1">
      <c r="C27" s="408"/>
    </row>
    <row r="28" ht="14.25" customHeight="1">
      <c r="C28" s="408"/>
    </row>
    <row r="29" ht="14.25" customHeight="1">
      <c r="C29" s="408"/>
    </row>
    <row r="30" ht="14.25" customHeight="1">
      <c r="C30" s="408"/>
    </row>
    <row r="31" ht="14.25" customHeight="1">
      <c r="C31" s="408"/>
    </row>
    <row r="32" ht="14.25" customHeight="1">
      <c r="C32" s="408"/>
    </row>
    <row r="33" ht="14.25" customHeight="1">
      <c r="C33" s="408"/>
    </row>
    <row r="34" ht="14.25" customHeight="1">
      <c r="C34" s="408"/>
    </row>
    <row r="35" ht="14.25" customHeight="1">
      <c r="C35" s="408"/>
    </row>
    <row r="36" ht="14.25" customHeight="1">
      <c r="C36" s="408"/>
    </row>
    <row r="37" ht="14.25" customHeight="1">
      <c r="C37" s="408"/>
    </row>
    <row r="38" ht="14.25" customHeight="1">
      <c r="C38" s="408"/>
    </row>
    <row r="39" ht="14.25" customHeight="1">
      <c r="C39" s="408"/>
    </row>
    <row r="40" ht="14.25" customHeight="1">
      <c r="C40" s="408"/>
    </row>
    <row r="41" ht="14.25" customHeight="1">
      <c r="C41" s="408"/>
    </row>
    <row r="42" ht="14.25" customHeight="1">
      <c r="C42" s="408"/>
    </row>
    <row r="43" ht="14.25" customHeight="1">
      <c r="C43" s="408"/>
    </row>
    <row r="44" ht="14.25" customHeight="1">
      <c r="C44" s="408"/>
    </row>
    <row r="45" ht="14.25" customHeight="1">
      <c r="C45" s="408"/>
    </row>
    <row r="46" ht="14.25" customHeight="1">
      <c r="C46" s="408"/>
    </row>
    <row r="47" ht="14.25" customHeight="1">
      <c r="C47" s="408"/>
    </row>
    <row r="48" ht="14.25" customHeight="1">
      <c r="C48" s="408"/>
    </row>
    <row r="49" ht="14.25" customHeight="1">
      <c r="C49" s="408"/>
    </row>
    <row r="50" ht="14.25" customHeight="1">
      <c r="C50" s="408"/>
    </row>
    <row r="51" ht="14.25" customHeight="1">
      <c r="C51" s="408"/>
    </row>
    <row r="52" ht="14.25" customHeight="1">
      <c r="C52" s="408"/>
    </row>
    <row r="53" ht="14.25" customHeight="1">
      <c r="C53" s="408"/>
    </row>
    <row r="54" ht="14.25" customHeight="1">
      <c r="C54" s="408"/>
    </row>
    <row r="55" ht="14.25" customHeight="1">
      <c r="C55" s="408"/>
    </row>
    <row r="56" ht="14.25" customHeight="1">
      <c r="C56" s="408"/>
    </row>
    <row r="57" ht="14.25" customHeight="1">
      <c r="C57" s="408"/>
    </row>
    <row r="58" ht="14.25" customHeight="1">
      <c r="C58" s="408"/>
    </row>
    <row r="59" ht="14.25" customHeight="1">
      <c r="C59" s="408"/>
    </row>
    <row r="60" ht="14.25" customHeight="1">
      <c r="C60" s="408"/>
    </row>
    <row r="61" ht="14.25" customHeight="1">
      <c r="C61" s="408"/>
    </row>
    <row r="62" ht="14.25" customHeight="1">
      <c r="C62" s="408"/>
    </row>
    <row r="63" ht="14.25" customHeight="1">
      <c r="C63" s="408"/>
    </row>
    <row r="64" ht="14.25" customHeight="1">
      <c r="C64" s="408"/>
    </row>
    <row r="65" ht="14.25" customHeight="1">
      <c r="C65" s="408"/>
    </row>
    <row r="66" ht="14.25" customHeight="1">
      <c r="C66" s="408"/>
    </row>
    <row r="67" ht="14.25" customHeight="1">
      <c r="C67" s="408"/>
    </row>
    <row r="68" ht="14.25" customHeight="1">
      <c r="C68" s="408"/>
    </row>
    <row r="69" ht="14.25" customHeight="1">
      <c r="C69" s="408"/>
    </row>
    <row r="70" ht="14.25" customHeight="1">
      <c r="C70" s="408"/>
    </row>
    <row r="71" ht="14.25" customHeight="1">
      <c r="C71" s="408"/>
    </row>
    <row r="72" ht="14.25" customHeight="1">
      <c r="C72" s="408"/>
    </row>
    <row r="73" ht="14.25" customHeight="1">
      <c r="C73" s="408"/>
    </row>
    <row r="74" ht="14.25" customHeight="1">
      <c r="C74" s="408"/>
    </row>
    <row r="75" ht="14.25" customHeight="1">
      <c r="C75" s="408"/>
    </row>
    <row r="76" ht="14.25" customHeight="1">
      <c r="C76" s="408"/>
    </row>
    <row r="77" ht="14.25" customHeight="1">
      <c r="C77" s="408"/>
    </row>
    <row r="78" ht="14.25" customHeight="1">
      <c r="C78" s="408"/>
    </row>
    <row r="79" ht="14.25" customHeight="1">
      <c r="C79" s="408"/>
    </row>
    <row r="80" ht="14.25" customHeight="1">
      <c r="C80" s="408"/>
    </row>
    <row r="81" ht="14.25" customHeight="1">
      <c r="C81" s="408"/>
    </row>
    <row r="82" ht="14.25" customHeight="1">
      <c r="C82" s="408"/>
    </row>
    <row r="83" ht="14.25" customHeight="1">
      <c r="C83" s="408"/>
    </row>
    <row r="84" ht="14.25" customHeight="1">
      <c r="C84" s="408"/>
    </row>
    <row r="85" ht="14.25" customHeight="1">
      <c r="C85" s="408"/>
    </row>
    <row r="86" ht="14.25" customHeight="1">
      <c r="C86" s="408"/>
    </row>
    <row r="87" ht="14.25" customHeight="1">
      <c r="C87" s="408"/>
    </row>
    <row r="88" ht="14.25" customHeight="1">
      <c r="C88" s="408"/>
    </row>
    <row r="89" ht="14.25" customHeight="1">
      <c r="C89" s="408"/>
    </row>
    <row r="90" ht="14.25" customHeight="1">
      <c r="C90" s="408"/>
    </row>
    <row r="91" ht="14.25" customHeight="1">
      <c r="C91" s="408"/>
    </row>
    <row r="92" ht="14.25" customHeight="1">
      <c r="C92" s="408"/>
    </row>
    <row r="93" ht="14.25" customHeight="1">
      <c r="C93" s="408"/>
    </row>
    <row r="94" ht="14.25" customHeight="1">
      <c r="C94" s="408"/>
    </row>
    <row r="95" ht="14.25" customHeight="1">
      <c r="C95" s="408"/>
    </row>
    <row r="96" ht="14.25" customHeight="1">
      <c r="C96" s="408"/>
    </row>
    <row r="97" ht="14.25" customHeight="1">
      <c r="C97" s="408"/>
    </row>
    <row r="98" ht="14.25" customHeight="1">
      <c r="C98" s="408"/>
    </row>
    <row r="99" ht="14.25" customHeight="1">
      <c r="C99" s="408"/>
    </row>
    <row r="100" ht="14.25" customHeight="1">
      <c r="C100" s="408"/>
    </row>
    <row r="101" ht="14.25" customHeight="1">
      <c r="C101" s="408"/>
    </row>
    <row r="102" ht="14.25" customHeight="1">
      <c r="C102" s="408"/>
    </row>
    <row r="103" ht="14.25" customHeight="1">
      <c r="C103" s="408"/>
    </row>
    <row r="104" ht="14.25" customHeight="1">
      <c r="C104" s="408"/>
    </row>
    <row r="105" ht="14.25" customHeight="1">
      <c r="C105" s="408"/>
    </row>
    <row r="106" ht="14.25" customHeight="1">
      <c r="C106" s="408"/>
    </row>
    <row r="107" ht="14.25" customHeight="1">
      <c r="C107" s="408"/>
    </row>
    <row r="108" ht="14.25" customHeight="1">
      <c r="C108" s="408"/>
    </row>
    <row r="109" ht="14.25" customHeight="1">
      <c r="C109" s="408"/>
    </row>
    <row r="110" ht="14.25" customHeight="1">
      <c r="C110" s="408"/>
    </row>
    <row r="111" ht="14.25" customHeight="1">
      <c r="C111" s="408"/>
    </row>
    <row r="112" ht="14.25" customHeight="1">
      <c r="C112" s="408"/>
    </row>
    <row r="113" ht="14.25" customHeight="1">
      <c r="C113" s="408"/>
    </row>
    <row r="114" ht="14.25" customHeight="1">
      <c r="C114" s="408"/>
    </row>
    <row r="115" ht="14.25" customHeight="1">
      <c r="C115" s="408"/>
    </row>
    <row r="116" ht="14.25" customHeight="1">
      <c r="C116" s="408"/>
    </row>
    <row r="117" ht="14.25" customHeight="1">
      <c r="C117" s="408"/>
    </row>
    <row r="118" ht="14.25" customHeight="1">
      <c r="C118" s="408"/>
    </row>
    <row r="119" ht="14.25" customHeight="1">
      <c r="C119" s="408"/>
    </row>
    <row r="120" ht="14.25" customHeight="1">
      <c r="C120" s="408"/>
    </row>
    <row r="121" ht="14.25" customHeight="1">
      <c r="C121" s="408"/>
    </row>
    <row r="122" ht="14.25" customHeight="1">
      <c r="C122" s="408"/>
    </row>
    <row r="123" ht="14.25" customHeight="1">
      <c r="C123" s="408"/>
    </row>
    <row r="124" ht="14.25" customHeight="1">
      <c r="C124" s="408"/>
    </row>
    <row r="125" ht="14.25" customHeight="1">
      <c r="C125" s="408"/>
    </row>
    <row r="126" ht="14.25" customHeight="1">
      <c r="C126" s="408"/>
    </row>
    <row r="127" ht="14.25" customHeight="1">
      <c r="C127" s="408"/>
    </row>
    <row r="128" ht="14.25" customHeight="1">
      <c r="C128" s="408"/>
    </row>
    <row r="129" ht="14.25" customHeight="1">
      <c r="C129" s="408"/>
    </row>
    <row r="130" ht="14.25" customHeight="1">
      <c r="C130" s="408"/>
    </row>
    <row r="131" ht="14.25" customHeight="1">
      <c r="C131" s="408"/>
    </row>
    <row r="132" ht="14.25" customHeight="1">
      <c r="C132" s="408"/>
    </row>
    <row r="133" ht="14.25" customHeight="1">
      <c r="C133" s="408"/>
    </row>
    <row r="134" ht="14.25" customHeight="1">
      <c r="C134" s="408"/>
    </row>
    <row r="135" ht="14.25" customHeight="1">
      <c r="C135" s="408"/>
    </row>
    <row r="136" ht="14.25" customHeight="1">
      <c r="C136" s="408"/>
    </row>
    <row r="137" ht="14.25" customHeight="1">
      <c r="C137" s="408"/>
    </row>
    <row r="138" ht="14.25" customHeight="1">
      <c r="C138" s="408"/>
    </row>
    <row r="139" ht="14.25" customHeight="1">
      <c r="C139" s="408"/>
    </row>
    <row r="140" ht="14.25" customHeight="1">
      <c r="C140" s="408"/>
    </row>
    <row r="141" ht="14.25" customHeight="1">
      <c r="C141" s="408"/>
    </row>
    <row r="142" ht="14.25" customHeight="1">
      <c r="C142" s="408"/>
    </row>
    <row r="143" ht="14.25" customHeight="1">
      <c r="C143" s="408"/>
    </row>
    <row r="144" ht="14.25" customHeight="1">
      <c r="C144" s="408"/>
    </row>
    <row r="145" ht="14.25" customHeight="1">
      <c r="C145" s="408"/>
    </row>
    <row r="146" ht="14.25" customHeight="1">
      <c r="C146" s="408"/>
    </row>
    <row r="147" ht="14.25" customHeight="1">
      <c r="C147" s="408"/>
    </row>
    <row r="148" ht="14.25" customHeight="1">
      <c r="C148" s="408"/>
    </row>
    <row r="149" ht="14.25" customHeight="1">
      <c r="C149" s="408"/>
    </row>
    <row r="150" ht="14.25" customHeight="1">
      <c r="C150" s="408"/>
    </row>
    <row r="151" ht="14.25" customHeight="1">
      <c r="C151" s="408"/>
    </row>
    <row r="152" ht="14.25" customHeight="1">
      <c r="C152" s="408"/>
    </row>
    <row r="153" ht="14.25" customHeight="1">
      <c r="C153" s="408"/>
    </row>
    <row r="154" ht="14.25" customHeight="1">
      <c r="C154" s="408"/>
    </row>
    <row r="155" ht="14.25" customHeight="1">
      <c r="C155" s="408"/>
    </row>
    <row r="156" ht="14.25" customHeight="1">
      <c r="C156" s="408"/>
    </row>
    <row r="157" ht="14.25" customHeight="1">
      <c r="C157" s="408"/>
    </row>
    <row r="158" ht="14.25" customHeight="1">
      <c r="C158" s="408"/>
    </row>
    <row r="159" ht="14.25" customHeight="1">
      <c r="C159" s="408"/>
    </row>
    <row r="160" ht="14.25" customHeight="1">
      <c r="C160" s="408"/>
    </row>
    <row r="161" ht="14.25" customHeight="1">
      <c r="C161" s="408"/>
    </row>
    <row r="162" ht="14.25" customHeight="1">
      <c r="C162" s="408"/>
    </row>
    <row r="163" ht="14.25" customHeight="1">
      <c r="C163" s="408"/>
    </row>
    <row r="164" ht="14.25" customHeight="1">
      <c r="C164" s="408"/>
    </row>
    <row r="165" ht="14.25" customHeight="1">
      <c r="C165" s="408"/>
    </row>
    <row r="166" ht="14.25" customHeight="1">
      <c r="C166" s="408"/>
    </row>
    <row r="167" ht="14.25" customHeight="1">
      <c r="C167" s="408"/>
    </row>
    <row r="168" ht="14.25" customHeight="1">
      <c r="C168" s="408"/>
    </row>
    <row r="169" ht="14.25" customHeight="1">
      <c r="C169" s="408"/>
    </row>
    <row r="170" ht="14.25" customHeight="1">
      <c r="C170" s="408"/>
    </row>
    <row r="171" ht="14.25" customHeight="1">
      <c r="C171" s="408"/>
    </row>
    <row r="172" ht="14.25" customHeight="1">
      <c r="C172" s="408"/>
    </row>
    <row r="173" ht="14.25" customHeight="1">
      <c r="C173" s="408"/>
    </row>
    <row r="174" ht="14.25" customHeight="1">
      <c r="C174" s="408"/>
    </row>
    <row r="175" ht="14.25" customHeight="1">
      <c r="C175" s="408"/>
    </row>
    <row r="176" ht="14.25" customHeight="1">
      <c r="C176" s="408"/>
    </row>
    <row r="177" ht="14.25" customHeight="1">
      <c r="C177" s="408"/>
    </row>
    <row r="178" ht="14.25" customHeight="1">
      <c r="C178" s="408"/>
    </row>
    <row r="179" ht="14.25" customHeight="1">
      <c r="C179" s="408"/>
    </row>
    <row r="180" ht="14.25" customHeight="1">
      <c r="C180" s="408"/>
    </row>
    <row r="181" ht="14.25" customHeight="1">
      <c r="C181" s="408"/>
    </row>
    <row r="182" ht="14.25" customHeight="1">
      <c r="C182" s="408"/>
    </row>
    <row r="183" ht="14.25" customHeight="1">
      <c r="C183" s="408"/>
    </row>
    <row r="184" ht="14.25" customHeight="1">
      <c r="C184" s="408"/>
    </row>
    <row r="185" ht="14.25" customHeight="1">
      <c r="C185" s="408"/>
    </row>
    <row r="186" ht="14.25" customHeight="1">
      <c r="C186" s="408"/>
    </row>
    <row r="187" ht="14.25" customHeight="1">
      <c r="C187" s="408"/>
    </row>
    <row r="188" ht="14.25" customHeight="1">
      <c r="C188" s="408"/>
    </row>
    <row r="189" ht="14.25" customHeight="1">
      <c r="C189" s="408"/>
    </row>
    <row r="190" ht="14.25" customHeight="1">
      <c r="C190" s="408"/>
    </row>
    <row r="191" ht="14.25" customHeight="1">
      <c r="C191" s="408"/>
    </row>
    <row r="192" ht="14.25" customHeight="1">
      <c r="C192" s="408"/>
    </row>
    <row r="193" ht="14.25" customHeight="1">
      <c r="C193" s="408"/>
    </row>
    <row r="194" ht="14.25" customHeight="1">
      <c r="C194" s="408"/>
    </row>
    <row r="195" ht="14.25" customHeight="1">
      <c r="C195" s="408"/>
    </row>
    <row r="196" ht="14.25" customHeight="1">
      <c r="C196" s="408"/>
    </row>
    <row r="197" ht="14.25" customHeight="1">
      <c r="C197" s="408"/>
    </row>
    <row r="198" ht="14.25" customHeight="1">
      <c r="C198" s="408"/>
    </row>
    <row r="199" ht="14.25" customHeight="1">
      <c r="C199" s="408"/>
    </row>
    <row r="200" ht="14.25" customHeight="1">
      <c r="C200" s="408"/>
    </row>
    <row r="201" ht="14.25" customHeight="1">
      <c r="C201" s="408"/>
    </row>
    <row r="202" ht="14.25" customHeight="1">
      <c r="C202" s="408"/>
    </row>
    <row r="203" ht="14.25" customHeight="1">
      <c r="C203" s="408"/>
    </row>
    <row r="204" ht="14.25" customHeight="1">
      <c r="C204" s="408"/>
    </row>
    <row r="205" ht="14.25" customHeight="1">
      <c r="C205" s="408"/>
    </row>
    <row r="206" ht="14.25" customHeight="1">
      <c r="C206" s="408"/>
    </row>
    <row r="207" ht="14.25" customHeight="1">
      <c r="C207" s="408"/>
    </row>
    <row r="208" ht="14.25" customHeight="1">
      <c r="C208" s="408"/>
    </row>
    <row r="209" ht="14.25" customHeight="1">
      <c r="C209" s="408"/>
    </row>
    <row r="210" ht="14.25" customHeight="1">
      <c r="C210" s="408"/>
    </row>
    <row r="211" ht="14.25" customHeight="1">
      <c r="C211" s="408"/>
    </row>
    <row r="212" ht="14.25" customHeight="1">
      <c r="C212" s="408"/>
    </row>
    <row r="213" ht="14.25" customHeight="1">
      <c r="C213" s="408"/>
    </row>
    <row r="214" ht="14.25" customHeight="1">
      <c r="C214" s="408"/>
    </row>
    <row r="215" ht="14.25" customHeight="1">
      <c r="C215" s="408"/>
    </row>
    <row r="216" ht="14.25" customHeight="1">
      <c r="C216" s="408"/>
    </row>
    <row r="217" ht="14.25" customHeight="1">
      <c r="C217" s="408"/>
    </row>
    <row r="218" ht="14.25" customHeight="1">
      <c r="C218" s="408"/>
    </row>
    <row r="219" ht="14.25" customHeight="1">
      <c r="C219" s="408"/>
    </row>
    <row r="220" ht="14.25" customHeight="1">
      <c r="C220" s="408"/>
    </row>
    <row r="221" ht="14.25" customHeight="1">
      <c r="C221" s="408"/>
    </row>
    <row r="222" ht="14.25" customHeight="1">
      <c r="C222" s="408"/>
    </row>
    <row r="223" ht="14.25" customHeight="1">
      <c r="C223" s="408"/>
    </row>
    <row r="224" ht="14.25" customHeight="1">
      <c r="C224" s="408"/>
    </row>
    <row r="225" ht="14.25" customHeight="1">
      <c r="C225" s="408"/>
    </row>
    <row r="226" ht="14.25" customHeight="1">
      <c r="C226" s="408"/>
    </row>
    <row r="227" ht="14.25" customHeight="1">
      <c r="C227" s="408"/>
    </row>
    <row r="228" ht="14.25" customHeight="1">
      <c r="C228" s="408"/>
    </row>
    <row r="229" ht="14.25" customHeight="1">
      <c r="C229" s="408"/>
    </row>
    <row r="230" ht="14.25" customHeight="1">
      <c r="C230" s="408"/>
    </row>
    <row r="231" ht="14.25" customHeight="1">
      <c r="C231" s="408"/>
    </row>
    <row r="232" ht="14.25" customHeight="1">
      <c r="C232" s="408"/>
    </row>
    <row r="233" ht="14.25" customHeight="1">
      <c r="C233" s="408"/>
    </row>
    <row r="234" ht="14.25" customHeight="1">
      <c r="C234" s="408"/>
    </row>
    <row r="235" ht="14.25" customHeight="1">
      <c r="C235" s="408"/>
    </row>
    <row r="236" ht="14.25" customHeight="1">
      <c r="C236" s="408"/>
    </row>
    <row r="237" ht="14.25" customHeight="1">
      <c r="C237" s="408"/>
    </row>
    <row r="238" ht="14.25" customHeight="1">
      <c r="C238" s="408"/>
    </row>
    <row r="239" ht="14.25" customHeight="1">
      <c r="C239" s="408"/>
    </row>
    <row r="240" ht="14.25" customHeight="1">
      <c r="C240" s="408"/>
    </row>
    <row r="241" ht="14.25" customHeight="1">
      <c r="C241" s="408"/>
    </row>
    <row r="242" ht="14.25" customHeight="1">
      <c r="C242" s="408"/>
    </row>
    <row r="243" ht="14.25" customHeight="1">
      <c r="C243" s="408"/>
    </row>
    <row r="244" ht="14.25" customHeight="1">
      <c r="C244" s="408"/>
    </row>
    <row r="245" ht="14.25" customHeight="1">
      <c r="C245" s="408"/>
    </row>
    <row r="246" ht="14.25" customHeight="1">
      <c r="C246" s="408"/>
    </row>
    <row r="247" ht="14.25" customHeight="1">
      <c r="C247" s="408"/>
    </row>
    <row r="248" ht="14.25" customHeight="1">
      <c r="C248" s="408"/>
    </row>
    <row r="249" ht="14.25" customHeight="1">
      <c r="C249" s="408"/>
    </row>
    <row r="250" ht="14.25" customHeight="1">
      <c r="C250" s="408"/>
    </row>
    <row r="251" ht="14.25" customHeight="1">
      <c r="C251" s="408"/>
    </row>
    <row r="252" ht="14.25" customHeight="1">
      <c r="C252" s="408"/>
    </row>
    <row r="253" ht="14.25" customHeight="1">
      <c r="C253" s="408"/>
    </row>
    <row r="254" ht="14.25" customHeight="1">
      <c r="C254" s="408"/>
    </row>
    <row r="255" ht="14.25" customHeight="1">
      <c r="C255" s="408"/>
    </row>
    <row r="256" ht="14.25" customHeight="1">
      <c r="C256" s="408"/>
    </row>
    <row r="257" ht="14.25" customHeight="1">
      <c r="C257" s="408"/>
    </row>
    <row r="258" ht="14.25" customHeight="1">
      <c r="C258" s="408"/>
    </row>
    <row r="259" ht="14.25" customHeight="1">
      <c r="C259" s="408"/>
    </row>
    <row r="260" ht="14.25" customHeight="1">
      <c r="C260" s="408"/>
    </row>
    <row r="261" ht="14.25" customHeight="1">
      <c r="C261" s="408"/>
    </row>
    <row r="262" ht="14.25" customHeight="1">
      <c r="C262" s="408"/>
    </row>
    <row r="263" ht="14.25" customHeight="1">
      <c r="C263" s="408"/>
    </row>
    <row r="264" ht="14.25" customHeight="1">
      <c r="C264" s="408"/>
    </row>
    <row r="265" ht="14.25" customHeight="1">
      <c r="C265" s="408"/>
    </row>
    <row r="266" ht="14.25" customHeight="1">
      <c r="C266" s="408"/>
    </row>
    <row r="267" ht="14.25" customHeight="1">
      <c r="C267" s="408"/>
    </row>
    <row r="268" ht="14.25" customHeight="1">
      <c r="C268" s="408"/>
    </row>
    <row r="269" ht="14.25" customHeight="1">
      <c r="C269" s="408"/>
    </row>
    <row r="270" ht="14.25" customHeight="1">
      <c r="C270" s="408"/>
    </row>
    <row r="271" ht="14.25" customHeight="1">
      <c r="C271" s="408"/>
    </row>
    <row r="272" ht="14.25" customHeight="1">
      <c r="C272" s="408"/>
    </row>
    <row r="273" ht="14.25" customHeight="1">
      <c r="C273" s="408"/>
    </row>
    <row r="274" ht="14.25" customHeight="1">
      <c r="C274" s="408"/>
    </row>
    <row r="275" ht="14.25" customHeight="1">
      <c r="C275" s="408"/>
    </row>
    <row r="276" ht="14.25" customHeight="1">
      <c r="C276" s="408"/>
    </row>
    <row r="277" ht="14.25" customHeight="1">
      <c r="C277" s="408"/>
    </row>
    <row r="278" ht="14.25" customHeight="1">
      <c r="C278" s="408"/>
    </row>
    <row r="279" ht="14.25" customHeight="1">
      <c r="C279" s="408"/>
    </row>
    <row r="280" ht="14.25" customHeight="1">
      <c r="C280" s="408"/>
    </row>
    <row r="281" ht="14.25" customHeight="1">
      <c r="C281" s="408"/>
    </row>
    <row r="282" ht="14.25" customHeight="1">
      <c r="C282" s="408"/>
    </row>
    <row r="283" ht="14.25" customHeight="1">
      <c r="C283" s="408"/>
    </row>
    <row r="284" ht="14.25" customHeight="1">
      <c r="C284" s="408"/>
    </row>
    <row r="285" ht="14.25" customHeight="1">
      <c r="C285" s="408"/>
    </row>
    <row r="286" ht="14.25" customHeight="1">
      <c r="C286" s="408"/>
    </row>
    <row r="287" ht="14.25" customHeight="1">
      <c r="C287" s="408"/>
    </row>
    <row r="288" ht="14.25" customHeight="1">
      <c r="C288" s="408"/>
    </row>
    <row r="289" ht="14.25" customHeight="1">
      <c r="C289" s="408"/>
    </row>
    <row r="290" ht="14.25" customHeight="1">
      <c r="C290" s="408"/>
    </row>
    <row r="291" ht="14.25" customHeight="1">
      <c r="C291" s="408"/>
    </row>
    <row r="292" ht="14.25" customHeight="1">
      <c r="C292" s="408"/>
    </row>
    <row r="293" ht="14.25" customHeight="1">
      <c r="C293" s="408"/>
    </row>
    <row r="294" ht="14.25" customHeight="1">
      <c r="C294" s="408"/>
    </row>
    <row r="295" ht="14.25" customHeight="1">
      <c r="C295" s="408"/>
    </row>
    <row r="296" ht="14.25" customHeight="1">
      <c r="C296" s="408"/>
    </row>
    <row r="297" ht="14.25" customHeight="1">
      <c r="C297" s="408"/>
    </row>
    <row r="298" ht="14.25" customHeight="1">
      <c r="C298" s="408"/>
    </row>
    <row r="299" ht="14.25" customHeight="1">
      <c r="C299" s="408"/>
    </row>
    <row r="300" ht="14.25" customHeight="1">
      <c r="C300" s="408"/>
    </row>
    <row r="301" ht="14.25" customHeight="1">
      <c r="C301" s="408"/>
    </row>
    <row r="302" ht="14.25" customHeight="1">
      <c r="C302" s="408"/>
    </row>
    <row r="303" ht="14.25" customHeight="1">
      <c r="C303" s="408"/>
    </row>
    <row r="304" ht="14.25" customHeight="1">
      <c r="C304" s="408"/>
    </row>
    <row r="305" ht="14.25" customHeight="1">
      <c r="C305" s="408"/>
    </row>
    <row r="306" ht="14.25" customHeight="1">
      <c r="C306" s="408"/>
    </row>
    <row r="307" ht="14.25" customHeight="1">
      <c r="C307" s="408"/>
    </row>
    <row r="308" ht="14.25" customHeight="1">
      <c r="C308" s="408"/>
    </row>
    <row r="309" ht="14.25" customHeight="1">
      <c r="C309" s="408"/>
    </row>
    <row r="310" ht="14.25" customHeight="1">
      <c r="C310" s="408"/>
    </row>
    <row r="311" ht="14.25" customHeight="1">
      <c r="C311" s="408"/>
    </row>
    <row r="312" ht="14.25" customHeight="1">
      <c r="C312" s="408"/>
    </row>
    <row r="313" ht="14.25" customHeight="1">
      <c r="C313" s="408"/>
    </row>
    <row r="314" ht="14.25" customHeight="1">
      <c r="C314" s="408"/>
    </row>
    <row r="315" ht="14.25" customHeight="1">
      <c r="C315" s="408"/>
    </row>
    <row r="316" ht="14.25" customHeight="1">
      <c r="C316" s="408"/>
    </row>
    <row r="317" ht="14.25" customHeight="1">
      <c r="C317" s="408"/>
    </row>
    <row r="318" ht="14.25" customHeight="1">
      <c r="C318" s="408"/>
    </row>
    <row r="319" ht="14.25" customHeight="1">
      <c r="C319" s="408"/>
    </row>
    <row r="320" ht="14.25" customHeight="1">
      <c r="C320" s="408"/>
    </row>
    <row r="321" ht="14.25" customHeight="1">
      <c r="C321" s="408"/>
    </row>
    <row r="322" ht="14.25" customHeight="1">
      <c r="C322" s="408"/>
    </row>
    <row r="323" ht="14.25" customHeight="1">
      <c r="C323" s="408"/>
    </row>
    <row r="324" ht="14.25" customHeight="1">
      <c r="C324" s="408"/>
    </row>
    <row r="325" ht="14.25" customHeight="1">
      <c r="C325" s="408"/>
    </row>
    <row r="326" ht="14.25" customHeight="1">
      <c r="C326" s="408"/>
    </row>
    <row r="327" ht="14.25" customHeight="1">
      <c r="C327" s="408"/>
    </row>
    <row r="328" ht="14.25" customHeight="1">
      <c r="C328" s="408"/>
    </row>
    <row r="329" ht="14.25" customHeight="1">
      <c r="C329" s="408"/>
    </row>
    <row r="330" ht="14.25" customHeight="1">
      <c r="C330" s="408"/>
    </row>
    <row r="331" ht="14.25" customHeight="1">
      <c r="C331" s="408"/>
    </row>
    <row r="332" ht="14.25" customHeight="1">
      <c r="C332" s="408"/>
    </row>
    <row r="333" ht="14.25" customHeight="1">
      <c r="C333" s="408"/>
    </row>
    <row r="334" ht="14.25" customHeight="1">
      <c r="C334" s="408"/>
    </row>
    <row r="335" ht="14.25" customHeight="1">
      <c r="C335" s="408"/>
    </row>
    <row r="336" ht="14.25" customHeight="1">
      <c r="C336" s="408"/>
    </row>
    <row r="337" ht="14.25" customHeight="1">
      <c r="C337" s="408"/>
    </row>
    <row r="338" ht="14.25" customHeight="1">
      <c r="C338" s="408"/>
    </row>
    <row r="339" ht="14.25" customHeight="1">
      <c r="C339" s="408"/>
    </row>
    <row r="340" ht="14.25" customHeight="1">
      <c r="C340" s="408"/>
    </row>
    <row r="341" ht="14.25" customHeight="1">
      <c r="C341" s="408"/>
    </row>
    <row r="342" ht="14.25" customHeight="1">
      <c r="C342" s="408"/>
    </row>
    <row r="343" ht="14.25" customHeight="1">
      <c r="C343" s="408"/>
    </row>
    <row r="344" ht="14.25" customHeight="1">
      <c r="C344" s="408"/>
    </row>
    <row r="345" ht="14.25" customHeight="1">
      <c r="C345" s="408"/>
    </row>
    <row r="346" ht="14.25" customHeight="1">
      <c r="C346" s="408"/>
    </row>
    <row r="347" ht="14.25" customHeight="1">
      <c r="C347" s="408"/>
    </row>
    <row r="348" ht="14.25" customHeight="1">
      <c r="C348" s="408"/>
    </row>
    <row r="349" ht="14.25" customHeight="1">
      <c r="C349" s="408"/>
    </row>
    <row r="350" ht="14.25" customHeight="1">
      <c r="C350" s="408"/>
    </row>
    <row r="351" ht="14.25" customHeight="1">
      <c r="C351" s="408"/>
    </row>
    <row r="352" ht="14.25" customHeight="1">
      <c r="C352" s="408"/>
    </row>
    <row r="353" ht="14.25" customHeight="1">
      <c r="C353" s="408"/>
    </row>
    <row r="354" ht="14.25" customHeight="1">
      <c r="C354" s="408"/>
    </row>
    <row r="355" ht="14.25" customHeight="1">
      <c r="C355" s="408"/>
    </row>
    <row r="356" ht="14.25" customHeight="1">
      <c r="C356" s="408"/>
    </row>
    <row r="357" ht="14.25" customHeight="1">
      <c r="C357" s="408"/>
    </row>
    <row r="358" ht="14.25" customHeight="1">
      <c r="C358" s="408"/>
    </row>
    <row r="359" ht="14.25" customHeight="1">
      <c r="C359" s="408"/>
    </row>
    <row r="360" ht="14.25" customHeight="1">
      <c r="C360" s="408"/>
    </row>
    <row r="361" ht="14.25" customHeight="1">
      <c r="C361" s="408"/>
    </row>
    <row r="362" ht="14.25" customHeight="1">
      <c r="C362" s="408"/>
    </row>
    <row r="363" ht="14.25" customHeight="1">
      <c r="C363" s="408"/>
    </row>
    <row r="364" ht="14.25" customHeight="1">
      <c r="C364" s="408"/>
    </row>
    <row r="365" ht="14.25" customHeight="1">
      <c r="C365" s="408"/>
    </row>
    <row r="366" ht="14.25" customHeight="1">
      <c r="C366" s="408"/>
    </row>
    <row r="367" ht="14.25" customHeight="1">
      <c r="C367" s="408"/>
    </row>
    <row r="368" ht="14.25" customHeight="1">
      <c r="C368" s="408"/>
    </row>
    <row r="369" ht="14.25" customHeight="1">
      <c r="C369" s="408"/>
    </row>
    <row r="370" ht="14.25" customHeight="1">
      <c r="C370" s="408"/>
    </row>
    <row r="371" ht="14.25" customHeight="1">
      <c r="C371" s="408"/>
    </row>
    <row r="372" ht="14.25" customHeight="1">
      <c r="C372" s="408"/>
    </row>
    <row r="373" ht="14.25" customHeight="1">
      <c r="C373" s="408"/>
    </row>
    <row r="374" ht="14.25" customHeight="1">
      <c r="C374" s="408"/>
    </row>
    <row r="375" ht="14.25" customHeight="1">
      <c r="C375" s="408"/>
    </row>
    <row r="376" ht="14.25" customHeight="1">
      <c r="C376" s="408"/>
    </row>
    <row r="377" ht="14.25" customHeight="1">
      <c r="C377" s="408"/>
    </row>
    <row r="378" ht="14.25" customHeight="1">
      <c r="C378" s="408"/>
    </row>
    <row r="379" ht="14.25" customHeight="1">
      <c r="C379" s="408"/>
    </row>
    <row r="380" ht="14.25" customHeight="1">
      <c r="C380" s="408"/>
    </row>
    <row r="381" ht="14.25" customHeight="1">
      <c r="C381" s="408"/>
    </row>
    <row r="382" ht="14.25" customHeight="1">
      <c r="C382" s="408"/>
    </row>
    <row r="383" ht="14.25" customHeight="1">
      <c r="C383" s="408"/>
    </row>
    <row r="384" ht="14.25" customHeight="1">
      <c r="C384" s="408"/>
    </row>
    <row r="385" ht="14.25" customHeight="1">
      <c r="C385" s="408"/>
    </row>
    <row r="386" ht="14.25" customHeight="1">
      <c r="C386" s="408"/>
    </row>
    <row r="387" ht="14.25" customHeight="1">
      <c r="C387" s="408"/>
    </row>
    <row r="388" ht="14.25" customHeight="1">
      <c r="C388" s="408"/>
    </row>
    <row r="389" ht="14.25" customHeight="1">
      <c r="C389" s="408"/>
    </row>
    <row r="390" ht="14.25" customHeight="1">
      <c r="C390" s="408"/>
    </row>
    <row r="391" ht="14.25" customHeight="1">
      <c r="C391" s="408"/>
    </row>
    <row r="392" ht="14.25" customHeight="1">
      <c r="C392" s="408"/>
    </row>
    <row r="393" ht="14.25" customHeight="1">
      <c r="C393" s="408"/>
    </row>
    <row r="394" ht="14.25" customHeight="1">
      <c r="C394" s="408"/>
    </row>
    <row r="395" ht="14.25" customHeight="1">
      <c r="C395" s="408"/>
    </row>
    <row r="396" ht="14.25" customHeight="1">
      <c r="C396" s="408"/>
    </row>
    <row r="397" ht="14.25" customHeight="1">
      <c r="C397" s="408"/>
    </row>
    <row r="398" ht="14.25" customHeight="1">
      <c r="C398" s="408"/>
    </row>
    <row r="399" ht="14.25" customHeight="1">
      <c r="C399" s="408"/>
    </row>
    <row r="400" ht="14.25" customHeight="1">
      <c r="C400" s="408"/>
    </row>
    <row r="401" ht="14.25" customHeight="1">
      <c r="C401" s="408"/>
    </row>
    <row r="402" ht="14.25" customHeight="1">
      <c r="C402" s="408"/>
    </row>
    <row r="403" ht="14.25" customHeight="1">
      <c r="C403" s="408"/>
    </row>
    <row r="404" ht="14.25" customHeight="1">
      <c r="C404" s="408"/>
    </row>
    <row r="405" ht="14.25" customHeight="1">
      <c r="C405" s="408"/>
    </row>
    <row r="406" ht="14.25" customHeight="1">
      <c r="C406" s="408"/>
    </row>
    <row r="407" ht="14.25" customHeight="1">
      <c r="C407" s="408"/>
    </row>
    <row r="408" ht="14.25" customHeight="1">
      <c r="C408" s="408"/>
    </row>
    <row r="409" ht="14.25" customHeight="1">
      <c r="C409" s="408"/>
    </row>
    <row r="410" ht="14.25" customHeight="1">
      <c r="C410" s="408"/>
    </row>
    <row r="411" ht="14.25" customHeight="1">
      <c r="C411" s="408"/>
    </row>
    <row r="412" ht="14.25" customHeight="1">
      <c r="C412" s="408"/>
    </row>
    <row r="413" ht="14.25" customHeight="1">
      <c r="C413" s="408"/>
    </row>
    <row r="414" ht="14.25" customHeight="1">
      <c r="C414" s="408"/>
    </row>
    <row r="415" ht="14.25" customHeight="1">
      <c r="C415" s="408"/>
    </row>
    <row r="416" ht="14.25" customHeight="1">
      <c r="C416" s="408"/>
    </row>
    <row r="417" ht="14.25" customHeight="1">
      <c r="C417" s="408"/>
    </row>
    <row r="418" ht="14.25" customHeight="1">
      <c r="C418" s="408"/>
    </row>
    <row r="419" ht="14.25" customHeight="1">
      <c r="C419" s="408"/>
    </row>
    <row r="420" ht="14.25" customHeight="1">
      <c r="C420" s="408"/>
    </row>
    <row r="421" ht="14.25" customHeight="1">
      <c r="C421" s="408"/>
    </row>
    <row r="422" ht="14.25" customHeight="1">
      <c r="C422" s="408"/>
    </row>
    <row r="423" ht="14.25" customHeight="1">
      <c r="C423" s="408"/>
    </row>
    <row r="424" ht="14.25" customHeight="1">
      <c r="C424" s="408"/>
    </row>
    <row r="425" ht="14.25" customHeight="1">
      <c r="C425" s="408"/>
    </row>
    <row r="426" ht="14.25" customHeight="1">
      <c r="C426" s="408"/>
    </row>
    <row r="427" ht="14.25" customHeight="1">
      <c r="C427" s="408"/>
    </row>
    <row r="428" ht="14.25" customHeight="1">
      <c r="C428" s="408"/>
    </row>
    <row r="429" ht="14.25" customHeight="1">
      <c r="C429" s="408"/>
    </row>
    <row r="430" ht="14.25" customHeight="1">
      <c r="C430" s="408"/>
    </row>
    <row r="431" ht="14.25" customHeight="1">
      <c r="C431" s="408"/>
    </row>
    <row r="432" ht="14.25" customHeight="1">
      <c r="C432" s="408"/>
    </row>
    <row r="433" ht="14.25" customHeight="1">
      <c r="C433" s="408"/>
    </row>
    <row r="434" ht="14.25" customHeight="1">
      <c r="C434" s="408"/>
    </row>
    <row r="435" ht="14.25" customHeight="1">
      <c r="C435" s="408"/>
    </row>
    <row r="436" ht="14.25" customHeight="1">
      <c r="C436" s="408"/>
    </row>
    <row r="437" ht="14.25" customHeight="1">
      <c r="C437" s="408"/>
    </row>
    <row r="438" ht="14.25" customHeight="1">
      <c r="C438" s="408"/>
    </row>
    <row r="439" ht="14.25" customHeight="1">
      <c r="C439" s="408"/>
    </row>
    <row r="440" ht="14.25" customHeight="1">
      <c r="C440" s="408"/>
    </row>
    <row r="441" ht="14.25" customHeight="1">
      <c r="C441" s="408"/>
    </row>
    <row r="442" ht="14.25" customHeight="1">
      <c r="C442" s="408"/>
    </row>
    <row r="443" ht="14.25" customHeight="1">
      <c r="C443" s="408"/>
    </row>
    <row r="444" ht="14.25" customHeight="1">
      <c r="C444" s="408"/>
    </row>
    <row r="445" ht="14.25" customHeight="1">
      <c r="C445" s="408"/>
    </row>
    <row r="446" ht="14.25" customHeight="1">
      <c r="C446" s="408"/>
    </row>
    <row r="447" ht="14.25" customHeight="1">
      <c r="C447" s="408"/>
    </row>
    <row r="448" ht="14.25" customHeight="1">
      <c r="C448" s="408"/>
    </row>
    <row r="449" ht="14.25" customHeight="1">
      <c r="C449" s="408"/>
    </row>
    <row r="450" ht="14.25" customHeight="1">
      <c r="C450" s="408"/>
    </row>
    <row r="451" ht="14.25" customHeight="1">
      <c r="C451" s="408"/>
    </row>
    <row r="452" ht="14.25" customHeight="1">
      <c r="C452" s="408"/>
    </row>
    <row r="453" ht="14.25" customHeight="1">
      <c r="C453" s="408"/>
    </row>
    <row r="454" ht="14.25" customHeight="1">
      <c r="C454" s="408"/>
    </row>
    <row r="455" ht="14.25" customHeight="1">
      <c r="C455" s="408"/>
    </row>
    <row r="456" ht="14.25" customHeight="1">
      <c r="C456" s="408"/>
    </row>
    <row r="457" ht="14.25" customHeight="1">
      <c r="C457" s="408"/>
    </row>
    <row r="458" ht="14.25" customHeight="1">
      <c r="C458" s="408"/>
    </row>
    <row r="459" ht="14.25" customHeight="1">
      <c r="C459" s="408"/>
    </row>
    <row r="460" ht="14.25" customHeight="1">
      <c r="C460" s="408"/>
    </row>
    <row r="461" ht="14.25" customHeight="1">
      <c r="C461" s="408"/>
    </row>
    <row r="462" ht="14.25" customHeight="1">
      <c r="C462" s="408"/>
    </row>
    <row r="463" ht="14.25" customHeight="1">
      <c r="C463" s="408"/>
    </row>
    <row r="464" ht="14.25" customHeight="1">
      <c r="C464" s="408"/>
    </row>
    <row r="465" ht="14.25" customHeight="1">
      <c r="C465" s="408"/>
    </row>
    <row r="466" ht="14.25" customHeight="1">
      <c r="C466" s="408"/>
    </row>
    <row r="467" ht="14.25" customHeight="1">
      <c r="C467" s="408"/>
    </row>
    <row r="468" ht="14.25" customHeight="1">
      <c r="C468" s="408"/>
    </row>
    <row r="469" ht="14.25" customHeight="1">
      <c r="C469" s="408"/>
    </row>
    <row r="470" ht="14.25" customHeight="1">
      <c r="C470" s="408"/>
    </row>
    <row r="471" ht="14.25" customHeight="1">
      <c r="C471" s="408"/>
    </row>
    <row r="472" ht="14.25" customHeight="1">
      <c r="C472" s="408"/>
    </row>
    <row r="473" ht="14.25" customHeight="1">
      <c r="C473" s="408"/>
    </row>
    <row r="474" ht="14.25" customHeight="1">
      <c r="C474" s="408"/>
    </row>
    <row r="475" ht="14.25" customHeight="1">
      <c r="C475" s="408"/>
    </row>
    <row r="476" ht="14.25" customHeight="1">
      <c r="C476" s="408"/>
    </row>
    <row r="477" ht="14.25" customHeight="1">
      <c r="C477" s="408"/>
    </row>
    <row r="478" ht="14.25" customHeight="1">
      <c r="C478" s="408"/>
    </row>
    <row r="479" ht="14.25" customHeight="1">
      <c r="C479" s="408"/>
    </row>
    <row r="480" ht="14.25" customHeight="1">
      <c r="C480" s="408"/>
    </row>
    <row r="481" ht="14.25" customHeight="1">
      <c r="C481" s="408"/>
    </row>
    <row r="482" ht="14.25" customHeight="1">
      <c r="C482" s="408"/>
    </row>
    <row r="483" ht="14.25" customHeight="1">
      <c r="C483" s="408"/>
    </row>
    <row r="484" ht="14.25" customHeight="1">
      <c r="C484" s="408"/>
    </row>
    <row r="485" ht="14.25" customHeight="1">
      <c r="C485" s="408"/>
    </row>
    <row r="486" ht="14.25" customHeight="1">
      <c r="C486" s="408"/>
    </row>
    <row r="487" ht="14.25" customHeight="1">
      <c r="C487" s="408"/>
    </row>
    <row r="488" ht="14.25" customHeight="1">
      <c r="C488" s="408"/>
    </row>
    <row r="489" ht="14.25" customHeight="1">
      <c r="C489" s="408"/>
    </row>
    <row r="490" ht="14.25" customHeight="1">
      <c r="C490" s="408"/>
    </row>
    <row r="491" ht="14.25" customHeight="1">
      <c r="C491" s="408"/>
    </row>
    <row r="492" ht="14.25" customHeight="1">
      <c r="C492" s="408"/>
    </row>
    <row r="493" ht="14.25" customHeight="1">
      <c r="C493" s="408"/>
    </row>
    <row r="494" ht="14.25" customHeight="1">
      <c r="C494" s="408"/>
    </row>
    <row r="495" ht="14.25" customHeight="1">
      <c r="C495" s="408"/>
    </row>
    <row r="496" ht="14.25" customHeight="1">
      <c r="C496" s="408"/>
    </row>
    <row r="497" ht="14.25" customHeight="1">
      <c r="C497" s="408"/>
    </row>
    <row r="498" ht="14.25" customHeight="1">
      <c r="C498" s="408"/>
    </row>
    <row r="499" ht="14.25" customHeight="1">
      <c r="C499" s="408"/>
    </row>
    <row r="500" ht="14.25" customHeight="1">
      <c r="C500" s="408"/>
    </row>
    <row r="501" ht="14.25" customHeight="1">
      <c r="C501" s="408"/>
    </row>
    <row r="502" ht="14.25" customHeight="1">
      <c r="C502" s="408"/>
    </row>
    <row r="503" ht="14.25" customHeight="1">
      <c r="C503" s="408"/>
    </row>
    <row r="504" ht="14.25" customHeight="1">
      <c r="C504" s="408"/>
    </row>
    <row r="505" ht="14.25" customHeight="1">
      <c r="C505" s="408"/>
    </row>
    <row r="506" ht="14.25" customHeight="1">
      <c r="C506" s="408"/>
    </row>
    <row r="507" ht="14.25" customHeight="1">
      <c r="C507" s="408"/>
    </row>
    <row r="508" ht="14.25" customHeight="1">
      <c r="C508" s="408"/>
    </row>
    <row r="509" ht="14.25" customHeight="1">
      <c r="C509" s="408"/>
    </row>
    <row r="510" ht="14.25" customHeight="1">
      <c r="C510" s="408"/>
    </row>
    <row r="511" ht="14.25" customHeight="1">
      <c r="C511" s="408"/>
    </row>
    <row r="512" ht="14.25" customHeight="1">
      <c r="C512" s="408"/>
    </row>
    <row r="513" ht="14.25" customHeight="1">
      <c r="C513" s="408"/>
    </row>
    <row r="514" ht="14.25" customHeight="1">
      <c r="C514" s="408"/>
    </row>
    <row r="515" ht="14.25" customHeight="1">
      <c r="C515" s="408"/>
    </row>
    <row r="516" ht="14.25" customHeight="1">
      <c r="C516" s="408"/>
    </row>
    <row r="517" ht="14.25" customHeight="1">
      <c r="C517" s="408"/>
    </row>
    <row r="518" ht="14.25" customHeight="1">
      <c r="C518" s="408"/>
    </row>
    <row r="519" ht="14.25" customHeight="1">
      <c r="C519" s="408"/>
    </row>
    <row r="520" ht="14.25" customHeight="1">
      <c r="C520" s="408"/>
    </row>
    <row r="521" ht="14.25" customHeight="1">
      <c r="C521" s="408"/>
    </row>
    <row r="522" ht="14.25" customHeight="1">
      <c r="C522" s="408"/>
    </row>
    <row r="523" ht="14.25" customHeight="1">
      <c r="C523" s="408"/>
    </row>
    <row r="524" ht="14.25" customHeight="1">
      <c r="C524" s="408"/>
    </row>
    <row r="525" ht="14.25" customHeight="1">
      <c r="C525" s="408"/>
    </row>
    <row r="526" ht="14.25" customHeight="1">
      <c r="C526" s="408"/>
    </row>
    <row r="527" ht="14.25" customHeight="1">
      <c r="C527" s="408"/>
    </row>
    <row r="528" ht="14.25" customHeight="1">
      <c r="C528" s="408"/>
    </row>
    <row r="529" ht="14.25" customHeight="1">
      <c r="C529" s="408"/>
    </row>
    <row r="530" ht="14.25" customHeight="1">
      <c r="C530" s="408"/>
    </row>
    <row r="531" ht="14.25" customHeight="1">
      <c r="C531" s="408"/>
    </row>
    <row r="532" ht="14.25" customHeight="1">
      <c r="C532" s="408"/>
    </row>
    <row r="533" ht="14.25" customHeight="1">
      <c r="C533" s="408"/>
    </row>
    <row r="534" ht="14.25" customHeight="1">
      <c r="C534" s="408"/>
    </row>
    <row r="535" ht="14.25" customHeight="1">
      <c r="C535" s="408"/>
    </row>
    <row r="536" ht="14.25" customHeight="1">
      <c r="C536" s="408"/>
    </row>
    <row r="537" ht="14.25" customHeight="1">
      <c r="C537" s="408"/>
    </row>
    <row r="538" ht="14.25" customHeight="1">
      <c r="C538" s="408"/>
    </row>
    <row r="539" ht="14.25" customHeight="1">
      <c r="C539" s="408"/>
    </row>
    <row r="540" ht="14.25" customHeight="1">
      <c r="C540" s="408"/>
    </row>
    <row r="541" ht="14.25" customHeight="1">
      <c r="C541" s="408"/>
    </row>
    <row r="542" ht="14.25" customHeight="1">
      <c r="C542" s="408"/>
    </row>
    <row r="543" ht="14.25" customHeight="1">
      <c r="C543" s="408"/>
    </row>
    <row r="544" ht="14.25" customHeight="1">
      <c r="C544" s="408"/>
    </row>
    <row r="545" ht="14.25" customHeight="1">
      <c r="C545" s="408"/>
    </row>
    <row r="546" ht="14.25" customHeight="1">
      <c r="C546" s="408"/>
    </row>
    <row r="547" ht="14.25" customHeight="1">
      <c r="C547" s="408"/>
    </row>
    <row r="548" ht="14.25" customHeight="1">
      <c r="C548" s="408"/>
    </row>
    <row r="549" ht="14.25" customHeight="1">
      <c r="C549" s="408"/>
    </row>
    <row r="550" ht="14.25" customHeight="1">
      <c r="C550" s="408"/>
    </row>
    <row r="551" ht="14.25" customHeight="1">
      <c r="C551" s="408"/>
    </row>
    <row r="552" ht="14.25" customHeight="1">
      <c r="C552" s="408"/>
    </row>
    <row r="553" ht="14.25" customHeight="1">
      <c r="C553" s="408"/>
    </row>
    <row r="554" ht="14.25" customHeight="1">
      <c r="C554" s="408"/>
    </row>
    <row r="555" ht="14.25" customHeight="1">
      <c r="C555" s="408"/>
    </row>
    <row r="556" ht="14.25" customHeight="1">
      <c r="C556" s="408"/>
    </row>
    <row r="557" ht="14.25" customHeight="1">
      <c r="C557" s="408"/>
    </row>
    <row r="558" ht="14.25" customHeight="1">
      <c r="C558" s="408"/>
    </row>
    <row r="559" ht="14.25" customHeight="1">
      <c r="C559" s="408"/>
    </row>
    <row r="560" ht="14.25" customHeight="1">
      <c r="C560" s="408"/>
    </row>
    <row r="561" ht="14.25" customHeight="1">
      <c r="C561" s="408"/>
    </row>
    <row r="562" ht="14.25" customHeight="1">
      <c r="C562" s="408"/>
    </row>
    <row r="563" ht="14.25" customHeight="1">
      <c r="C563" s="408"/>
    </row>
    <row r="564" ht="14.25" customHeight="1">
      <c r="C564" s="408"/>
    </row>
    <row r="565" ht="14.25" customHeight="1">
      <c r="C565" s="408"/>
    </row>
    <row r="566" ht="14.25" customHeight="1">
      <c r="C566" s="408"/>
    </row>
    <row r="567" ht="14.25" customHeight="1">
      <c r="C567" s="408"/>
    </row>
    <row r="568" ht="14.25" customHeight="1">
      <c r="C568" s="408"/>
    </row>
    <row r="569" ht="14.25" customHeight="1">
      <c r="C569" s="408"/>
    </row>
    <row r="570" ht="14.25" customHeight="1">
      <c r="C570" s="408"/>
    </row>
    <row r="571" ht="14.25" customHeight="1">
      <c r="C571" s="408"/>
    </row>
    <row r="572" ht="14.25" customHeight="1">
      <c r="C572" s="408"/>
    </row>
    <row r="573" ht="14.25" customHeight="1">
      <c r="C573" s="408"/>
    </row>
    <row r="574" ht="14.25" customHeight="1">
      <c r="C574" s="408"/>
    </row>
    <row r="575" ht="14.25" customHeight="1">
      <c r="C575" s="408"/>
    </row>
    <row r="576" ht="14.25" customHeight="1">
      <c r="C576" s="408"/>
    </row>
    <row r="577" ht="14.25" customHeight="1">
      <c r="C577" s="408"/>
    </row>
    <row r="578" ht="14.25" customHeight="1">
      <c r="C578" s="408"/>
    </row>
    <row r="579" ht="14.25" customHeight="1">
      <c r="C579" s="408"/>
    </row>
    <row r="580" ht="14.25" customHeight="1">
      <c r="C580" s="408"/>
    </row>
    <row r="581" ht="14.25" customHeight="1">
      <c r="C581" s="408"/>
    </row>
    <row r="582" ht="14.25" customHeight="1">
      <c r="C582" s="408"/>
    </row>
    <row r="583" ht="14.25" customHeight="1">
      <c r="C583" s="408"/>
    </row>
    <row r="584" ht="14.25" customHeight="1">
      <c r="C584" s="408"/>
    </row>
    <row r="585" ht="14.25" customHeight="1">
      <c r="C585" s="408"/>
    </row>
    <row r="586" ht="14.25" customHeight="1">
      <c r="C586" s="408"/>
    </row>
    <row r="587" ht="14.25" customHeight="1">
      <c r="C587" s="408"/>
    </row>
    <row r="588" ht="14.25" customHeight="1">
      <c r="C588" s="408"/>
    </row>
    <row r="589" ht="14.25" customHeight="1">
      <c r="C589" s="408"/>
    </row>
    <row r="590" ht="14.25" customHeight="1">
      <c r="C590" s="408"/>
    </row>
    <row r="591" ht="14.25" customHeight="1">
      <c r="C591" s="408"/>
    </row>
    <row r="592" ht="14.25" customHeight="1">
      <c r="C592" s="408"/>
    </row>
    <row r="593" ht="14.25" customHeight="1">
      <c r="C593" s="408"/>
    </row>
    <row r="594" ht="14.25" customHeight="1">
      <c r="C594" s="408"/>
    </row>
    <row r="595" ht="14.25" customHeight="1">
      <c r="C595" s="408"/>
    </row>
    <row r="596" ht="14.25" customHeight="1">
      <c r="C596" s="408"/>
    </row>
    <row r="597" ht="14.25" customHeight="1">
      <c r="C597" s="408"/>
    </row>
    <row r="598" ht="14.25" customHeight="1">
      <c r="C598" s="408"/>
    </row>
    <row r="599" ht="14.25" customHeight="1">
      <c r="C599" s="408"/>
    </row>
    <row r="600" ht="14.25" customHeight="1">
      <c r="C600" s="408"/>
    </row>
    <row r="601" ht="14.25" customHeight="1">
      <c r="C601" s="408"/>
    </row>
    <row r="602" ht="14.25" customHeight="1">
      <c r="C602" s="408"/>
    </row>
    <row r="603" ht="14.25" customHeight="1">
      <c r="C603" s="408"/>
    </row>
    <row r="604" ht="14.25" customHeight="1">
      <c r="C604" s="408"/>
    </row>
    <row r="605" ht="14.25" customHeight="1">
      <c r="C605" s="408"/>
    </row>
    <row r="606" ht="14.25" customHeight="1">
      <c r="C606" s="408"/>
    </row>
    <row r="607" ht="14.25" customHeight="1">
      <c r="C607" s="408"/>
    </row>
    <row r="608" ht="14.25" customHeight="1">
      <c r="C608" s="408"/>
    </row>
    <row r="609" ht="14.25" customHeight="1">
      <c r="C609" s="408"/>
    </row>
    <row r="610" ht="14.25" customHeight="1">
      <c r="C610" s="408"/>
    </row>
    <row r="611" ht="14.25" customHeight="1">
      <c r="C611" s="408"/>
    </row>
    <row r="612" ht="14.25" customHeight="1">
      <c r="C612" s="408"/>
    </row>
    <row r="613" ht="14.25" customHeight="1">
      <c r="C613" s="408"/>
    </row>
    <row r="614" ht="14.25" customHeight="1">
      <c r="C614" s="408"/>
    </row>
    <row r="615" ht="14.25" customHeight="1">
      <c r="C615" s="408"/>
    </row>
    <row r="616" ht="14.25" customHeight="1">
      <c r="C616" s="408"/>
    </row>
    <row r="617" ht="14.25" customHeight="1">
      <c r="C617" s="408"/>
    </row>
    <row r="618" ht="14.25" customHeight="1">
      <c r="C618" s="408"/>
    </row>
    <row r="619" ht="14.25" customHeight="1">
      <c r="C619" s="408"/>
    </row>
    <row r="620" ht="14.25" customHeight="1">
      <c r="C620" s="408"/>
    </row>
    <row r="621" ht="14.25" customHeight="1">
      <c r="C621" s="408"/>
    </row>
    <row r="622" ht="14.25" customHeight="1">
      <c r="C622" s="408"/>
    </row>
    <row r="623" ht="14.25" customHeight="1">
      <c r="C623" s="408"/>
    </row>
    <row r="624" ht="14.25" customHeight="1">
      <c r="C624" s="408"/>
    </row>
    <row r="625" ht="14.25" customHeight="1">
      <c r="C625" s="408"/>
    </row>
    <row r="626" ht="14.25" customHeight="1">
      <c r="C626" s="408"/>
    </row>
    <row r="627" ht="14.25" customHeight="1">
      <c r="C627" s="408"/>
    </row>
    <row r="628" ht="14.25" customHeight="1">
      <c r="C628" s="408"/>
    </row>
    <row r="629" ht="14.25" customHeight="1">
      <c r="C629" s="408"/>
    </row>
    <row r="630" ht="14.25" customHeight="1">
      <c r="C630" s="408"/>
    </row>
    <row r="631" ht="14.25" customHeight="1">
      <c r="C631" s="408"/>
    </row>
    <row r="632" ht="14.25" customHeight="1">
      <c r="C632" s="408"/>
    </row>
    <row r="633" ht="14.25" customHeight="1">
      <c r="C633" s="408"/>
    </row>
    <row r="634" ht="14.25" customHeight="1">
      <c r="C634" s="408"/>
    </row>
    <row r="635" ht="14.25" customHeight="1">
      <c r="C635" s="408"/>
    </row>
    <row r="636" ht="14.25" customHeight="1">
      <c r="C636" s="408"/>
    </row>
    <row r="637" ht="14.25" customHeight="1">
      <c r="C637" s="408"/>
    </row>
    <row r="638" ht="14.25" customHeight="1">
      <c r="C638" s="408"/>
    </row>
    <row r="639" ht="14.25" customHeight="1">
      <c r="C639" s="408"/>
    </row>
    <row r="640" ht="14.25" customHeight="1">
      <c r="C640" s="408"/>
    </row>
    <row r="641" ht="14.25" customHeight="1">
      <c r="C641" s="408"/>
    </row>
    <row r="642" ht="14.25" customHeight="1">
      <c r="C642" s="408"/>
    </row>
    <row r="643" ht="14.25" customHeight="1">
      <c r="C643" s="408"/>
    </row>
    <row r="644" ht="14.25" customHeight="1">
      <c r="C644" s="408"/>
    </row>
    <row r="645" ht="14.25" customHeight="1">
      <c r="C645" s="408"/>
    </row>
    <row r="646" ht="14.25" customHeight="1">
      <c r="C646" s="408"/>
    </row>
    <row r="647" ht="14.25" customHeight="1">
      <c r="C647" s="408"/>
    </row>
    <row r="648" ht="14.25" customHeight="1">
      <c r="C648" s="408"/>
    </row>
    <row r="649" ht="14.25" customHeight="1">
      <c r="C649" s="408"/>
    </row>
    <row r="650" ht="14.25" customHeight="1">
      <c r="C650" s="408"/>
    </row>
    <row r="651" ht="14.25" customHeight="1">
      <c r="C651" s="408"/>
    </row>
    <row r="652" ht="14.25" customHeight="1">
      <c r="C652" s="408"/>
    </row>
    <row r="653" ht="14.25" customHeight="1">
      <c r="C653" s="408"/>
    </row>
    <row r="654" ht="14.25" customHeight="1">
      <c r="C654" s="408"/>
    </row>
    <row r="655" ht="14.25" customHeight="1">
      <c r="C655" s="408"/>
    </row>
    <row r="656" ht="14.25" customHeight="1">
      <c r="C656" s="408"/>
    </row>
    <row r="657" ht="14.25" customHeight="1">
      <c r="C657" s="408"/>
    </row>
    <row r="658" ht="14.25" customHeight="1">
      <c r="C658" s="408"/>
    </row>
    <row r="659" ht="14.25" customHeight="1">
      <c r="C659" s="408"/>
    </row>
    <row r="660" ht="14.25" customHeight="1">
      <c r="C660" s="408"/>
    </row>
    <row r="661" ht="14.25" customHeight="1">
      <c r="C661" s="408"/>
    </row>
    <row r="662" ht="14.25" customHeight="1">
      <c r="C662" s="408"/>
    </row>
    <row r="663" ht="14.25" customHeight="1">
      <c r="C663" s="408"/>
    </row>
    <row r="664" ht="14.25" customHeight="1">
      <c r="C664" s="408"/>
    </row>
    <row r="665" ht="14.25" customHeight="1">
      <c r="C665" s="408"/>
    </row>
    <row r="666" ht="14.25" customHeight="1">
      <c r="C666" s="408"/>
    </row>
    <row r="667" ht="14.25" customHeight="1">
      <c r="C667" s="408"/>
    </row>
    <row r="668" ht="14.25" customHeight="1">
      <c r="C668" s="408"/>
    </row>
    <row r="669" ht="14.25" customHeight="1">
      <c r="C669" s="408"/>
    </row>
    <row r="670" ht="14.25" customHeight="1">
      <c r="C670" s="408"/>
    </row>
    <row r="671" ht="14.25" customHeight="1">
      <c r="C671" s="408"/>
    </row>
    <row r="672" ht="14.25" customHeight="1">
      <c r="C672" s="408"/>
    </row>
    <row r="673" ht="14.25" customHeight="1">
      <c r="C673" s="408"/>
    </row>
    <row r="674" ht="14.25" customHeight="1">
      <c r="C674" s="408"/>
    </row>
    <row r="675" ht="14.25" customHeight="1">
      <c r="C675" s="408"/>
    </row>
    <row r="676" ht="14.25" customHeight="1">
      <c r="C676" s="408"/>
    </row>
    <row r="677" ht="14.25" customHeight="1">
      <c r="C677" s="408"/>
    </row>
    <row r="678" ht="14.25" customHeight="1">
      <c r="C678" s="408"/>
    </row>
    <row r="679" ht="14.25" customHeight="1">
      <c r="C679" s="408"/>
    </row>
    <row r="680" ht="14.25" customHeight="1">
      <c r="C680" s="408"/>
    </row>
    <row r="681" ht="14.25" customHeight="1">
      <c r="C681" s="408"/>
    </row>
    <row r="682" ht="14.25" customHeight="1">
      <c r="C682" s="408"/>
    </row>
    <row r="683" ht="14.25" customHeight="1">
      <c r="C683" s="408"/>
    </row>
    <row r="684" ht="14.25" customHeight="1">
      <c r="C684" s="408"/>
    </row>
    <row r="685" ht="14.25" customHeight="1">
      <c r="C685" s="408"/>
    </row>
    <row r="686" ht="14.25" customHeight="1">
      <c r="C686" s="408"/>
    </row>
    <row r="687" ht="14.25" customHeight="1">
      <c r="C687" s="408"/>
    </row>
    <row r="688" ht="14.25" customHeight="1">
      <c r="C688" s="408"/>
    </row>
    <row r="689" ht="14.25" customHeight="1">
      <c r="C689" s="408"/>
    </row>
    <row r="690" ht="14.25" customHeight="1">
      <c r="C690" s="408"/>
    </row>
    <row r="691" ht="14.25" customHeight="1">
      <c r="C691" s="408"/>
    </row>
    <row r="692" ht="14.25" customHeight="1">
      <c r="C692" s="408"/>
    </row>
    <row r="693" ht="14.25" customHeight="1">
      <c r="C693" s="408"/>
    </row>
    <row r="694" ht="14.25" customHeight="1">
      <c r="C694" s="408"/>
    </row>
    <row r="695" ht="14.25" customHeight="1">
      <c r="C695" s="408"/>
    </row>
    <row r="696" ht="14.25" customHeight="1">
      <c r="C696" s="408"/>
    </row>
    <row r="697" ht="14.25" customHeight="1">
      <c r="C697" s="408"/>
    </row>
    <row r="698" ht="14.25" customHeight="1">
      <c r="C698" s="408"/>
    </row>
    <row r="699" ht="14.25" customHeight="1">
      <c r="C699" s="408"/>
    </row>
    <row r="700" ht="14.25" customHeight="1">
      <c r="C700" s="408"/>
    </row>
    <row r="701" ht="14.25" customHeight="1">
      <c r="C701" s="408"/>
    </row>
    <row r="702" ht="14.25" customHeight="1">
      <c r="C702" s="408"/>
    </row>
    <row r="703" ht="14.25" customHeight="1">
      <c r="C703" s="408"/>
    </row>
    <row r="704" ht="14.25" customHeight="1">
      <c r="C704" s="408"/>
    </row>
    <row r="705" ht="14.25" customHeight="1">
      <c r="C705" s="408"/>
    </row>
    <row r="706" ht="14.25" customHeight="1">
      <c r="C706" s="408"/>
    </row>
    <row r="707" ht="14.25" customHeight="1">
      <c r="C707" s="408"/>
    </row>
    <row r="708" ht="14.25" customHeight="1">
      <c r="C708" s="408"/>
    </row>
    <row r="709" ht="14.25" customHeight="1">
      <c r="C709" s="408"/>
    </row>
    <row r="710" ht="14.25" customHeight="1">
      <c r="C710" s="408"/>
    </row>
    <row r="711" ht="14.25" customHeight="1">
      <c r="C711" s="408"/>
    </row>
    <row r="712" ht="14.25" customHeight="1">
      <c r="C712" s="408"/>
    </row>
    <row r="713" ht="14.25" customHeight="1">
      <c r="C713" s="408"/>
    </row>
    <row r="714" ht="14.25" customHeight="1">
      <c r="C714" s="408"/>
    </row>
    <row r="715" ht="14.25" customHeight="1">
      <c r="C715" s="408"/>
    </row>
    <row r="716" ht="14.25" customHeight="1">
      <c r="C716" s="408"/>
    </row>
    <row r="717" ht="14.25" customHeight="1">
      <c r="C717" s="408"/>
    </row>
    <row r="718" ht="14.25" customHeight="1">
      <c r="C718" s="408"/>
    </row>
    <row r="719" ht="14.25" customHeight="1">
      <c r="C719" s="408"/>
    </row>
    <row r="720" ht="14.25" customHeight="1">
      <c r="C720" s="408"/>
    </row>
    <row r="721" ht="14.25" customHeight="1">
      <c r="C721" s="408"/>
    </row>
    <row r="722" ht="14.25" customHeight="1">
      <c r="C722" s="408"/>
    </row>
    <row r="723" ht="14.25" customHeight="1">
      <c r="C723" s="408"/>
    </row>
    <row r="724" ht="14.25" customHeight="1">
      <c r="C724" s="408"/>
    </row>
    <row r="725" ht="14.25" customHeight="1">
      <c r="C725" s="408"/>
    </row>
    <row r="726" ht="14.25" customHeight="1">
      <c r="C726" s="408"/>
    </row>
    <row r="727" ht="14.25" customHeight="1">
      <c r="C727" s="408"/>
    </row>
    <row r="728" ht="14.25" customHeight="1">
      <c r="C728" s="408"/>
    </row>
    <row r="729" ht="14.25" customHeight="1">
      <c r="C729" s="408"/>
    </row>
    <row r="730" ht="14.25" customHeight="1">
      <c r="C730" s="408"/>
    </row>
    <row r="731" ht="14.25" customHeight="1">
      <c r="C731" s="408"/>
    </row>
    <row r="732" ht="14.25" customHeight="1">
      <c r="C732" s="408"/>
    </row>
    <row r="733" ht="14.25" customHeight="1">
      <c r="C733" s="408"/>
    </row>
    <row r="734" ht="14.25" customHeight="1">
      <c r="C734" s="408"/>
    </row>
    <row r="735" ht="14.25" customHeight="1">
      <c r="C735" s="408"/>
    </row>
    <row r="736" ht="14.25" customHeight="1">
      <c r="C736" s="408"/>
    </row>
    <row r="737" ht="14.25" customHeight="1">
      <c r="C737" s="408"/>
    </row>
    <row r="738" ht="14.25" customHeight="1">
      <c r="C738" s="408"/>
    </row>
    <row r="739" ht="14.25" customHeight="1">
      <c r="C739" s="408"/>
    </row>
    <row r="740" ht="14.25" customHeight="1">
      <c r="C740" s="408"/>
    </row>
    <row r="741" ht="14.25" customHeight="1">
      <c r="C741" s="408"/>
    </row>
    <row r="742" ht="14.25" customHeight="1">
      <c r="C742" s="408"/>
    </row>
    <row r="743" ht="14.25" customHeight="1">
      <c r="C743" s="408"/>
    </row>
    <row r="744" ht="14.25" customHeight="1">
      <c r="C744" s="408"/>
    </row>
    <row r="745" ht="14.25" customHeight="1">
      <c r="C745" s="408"/>
    </row>
    <row r="746" ht="14.25" customHeight="1">
      <c r="C746" s="408"/>
    </row>
    <row r="747" ht="14.25" customHeight="1">
      <c r="C747" s="408"/>
    </row>
    <row r="748" ht="14.25" customHeight="1">
      <c r="C748" s="408"/>
    </row>
    <row r="749" ht="14.25" customHeight="1">
      <c r="C749" s="408"/>
    </row>
    <row r="750" ht="14.25" customHeight="1">
      <c r="C750" s="408"/>
    </row>
    <row r="751" ht="14.25" customHeight="1">
      <c r="C751" s="408"/>
    </row>
    <row r="752" ht="14.25" customHeight="1">
      <c r="C752" s="408"/>
    </row>
    <row r="753" ht="14.25" customHeight="1">
      <c r="C753" s="408"/>
    </row>
    <row r="754" ht="14.25" customHeight="1">
      <c r="C754" s="408"/>
    </row>
    <row r="755" ht="14.25" customHeight="1">
      <c r="C755" s="408"/>
    </row>
    <row r="756" ht="14.25" customHeight="1">
      <c r="C756" s="408"/>
    </row>
    <row r="757" ht="14.25" customHeight="1">
      <c r="C757" s="408"/>
    </row>
    <row r="758" ht="14.25" customHeight="1">
      <c r="C758" s="408"/>
    </row>
    <row r="759" ht="14.25" customHeight="1">
      <c r="C759" s="408"/>
    </row>
    <row r="760" ht="14.25" customHeight="1">
      <c r="C760" s="408"/>
    </row>
    <row r="761" ht="14.25" customHeight="1">
      <c r="C761" s="408"/>
    </row>
    <row r="762" ht="14.25" customHeight="1">
      <c r="C762" s="408"/>
    </row>
    <row r="763" ht="14.25" customHeight="1">
      <c r="C763" s="408"/>
    </row>
    <row r="764" ht="14.25" customHeight="1">
      <c r="C764" s="408"/>
    </row>
    <row r="765" ht="14.25" customHeight="1">
      <c r="C765" s="408"/>
    </row>
    <row r="766" ht="14.25" customHeight="1">
      <c r="C766" s="408"/>
    </row>
    <row r="767" ht="14.25" customHeight="1">
      <c r="C767" s="408"/>
    </row>
    <row r="768" ht="14.25" customHeight="1">
      <c r="C768" s="408"/>
    </row>
    <row r="769" ht="14.25" customHeight="1">
      <c r="C769" s="408"/>
    </row>
    <row r="770" ht="14.25" customHeight="1">
      <c r="C770" s="408"/>
    </row>
    <row r="771" ht="14.25" customHeight="1">
      <c r="C771" s="408"/>
    </row>
    <row r="772" ht="14.25" customHeight="1">
      <c r="C772" s="408"/>
    </row>
    <row r="773" ht="14.25" customHeight="1">
      <c r="C773" s="408"/>
    </row>
    <row r="774" ht="14.25" customHeight="1">
      <c r="C774" s="408"/>
    </row>
    <row r="775" ht="14.25" customHeight="1">
      <c r="C775" s="408"/>
    </row>
    <row r="776" ht="14.25" customHeight="1">
      <c r="C776" s="408"/>
    </row>
    <row r="777" ht="14.25" customHeight="1">
      <c r="C777" s="408"/>
    </row>
    <row r="778" ht="14.25" customHeight="1">
      <c r="C778" s="408"/>
    </row>
    <row r="779" ht="14.25" customHeight="1">
      <c r="C779" s="408"/>
    </row>
    <row r="780" ht="14.25" customHeight="1">
      <c r="C780" s="408"/>
    </row>
    <row r="781" ht="14.25" customHeight="1">
      <c r="C781" s="408"/>
    </row>
    <row r="782" ht="14.25" customHeight="1">
      <c r="C782" s="408"/>
    </row>
    <row r="783" ht="14.25" customHeight="1">
      <c r="C783" s="408"/>
    </row>
    <row r="784" ht="14.25" customHeight="1">
      <c r="C784" s="408"/>
    </row>
    <row r="785" ht="14.25" customHeight="1">
      <c r="C785" s="408"/>
    </row>
    <row r="786" ht="14.25" customHeight="1">
      <c r="C786" s="408"/>
    </row>
    <row r="787" ht="14.25" customHeight="1">
      <c r="C787" s="408"/>
    </row>
    <row r="788" ht="14.25" customHeight="1">
      <c r="C788" s="408"/>
    </row>
    <row r="789" ht="14.25" customHeight="1">
      <c r="C789" s="408"/>
    </row>
    <row r="790" ht="14.25" customHeight="1">
      <c r="C790" s="408"/>
    </row>
    <row r="791" ht="14.25" customHeight="1">
      <c r="C791" s="408"/>
    </row>
    <row r="792" ht="14.25" customHeight="1">
      <c r="C792" s="408"/>
    </row>
    <row r="793" ht="14.25" customHeight="1">
      <c r="C793" s="408"/>
    </row>
    <row r="794" ht="14.25" customHeight="1">
      <c r="C794" s="408"/>
    </row>
    <row r="795" ht="14.25" customHeight="1">
      <c r="C795" s="408"/>
    </row>
    <row r="796" ht="14.25" customHeight="1">
      <c r="C796" s="408"/>
    </row>
    <row r="797" ht="14.25" customHeight="1">
      <c r="C797" s="408"/>
    </row>
    <row r="798" ht="14.25" customHeight="1">
      <c r="C798" s="408"/>
    </row>
    <row r="799" ht="14.25" customHeight="1">
      <c r="C799" s="408"/>
    </row>
    <row r="800" ht="14.25" customHeight="1">
      <c r="C800" s="408"/>
    </row>
    <row r="801" ht="14.25" customHeight="1">
      <c r="C801" s="408"/>
    </row>
    <row r="802" ht="14.25" customHeight="1">
      <c r="C802" s="408"/>
    </row>
    <row r="803" ht="14.25" customHeight="1">
      <c r="C803" s="408"/>
    </row>
    <row r="804" ht="14.25" customHeight="1">
      <c r="C804" s="408"/>
    </row>
    <row r="805" ht="14.25" customHeight="1">
      <c r="C805" s="408"/>
    </row>
    <row r="806" ht="14.25" customHeight="1">
      <c r="C806" s="408"/>
    </row>
    <row r="807" ht="14.25" customHeight="1">
      <c r="C807" s="408"/>
    </row>
    <row r="808" ht="14.25" customHeight="1">
      <c r="C808" s="408"/>
    </row>
    <row r="809" ht="14.25" customHeight="1">
      <c r="C809" s="408"/>
    </row>
    <row r="810" ht="14.25" customHeight="1">
      <c r="C810" s="408"/>
    </row>
    <row r="811" ht="14.25" customHeight="1">
      <c r="C811" s="408"/>
    </row>
    <row r="812" ht="14.25" customHeight="1">
      <c r="C812" s="408"/>
    </row>
    <row r="813" ht="14.25" customHeight="1">
      <c r="C813" s="408"/>
    </row>
    <row r="814" ht="14.25" customHeight="1">
      <c r="C814" s="408"/>
    </row>
    <row r="815" ht="14.25" customHeight="1">
      <c r="C815" s="408"/>
    </row>
    <row r="816" ht="14.25" customHeight="1">
      <c r="C816" s="408"/>
    </row>
    <row r="817" ht="14.25" customHeight="1">
      <c r="C817" s="408"/>
    </row>
    <row r="818" ht="14.25" customHeight="1">
      <c r="C818" s="408"/>
    </row>
    <row r="819" ht="14.25" customHeight="1">
      <c r="C819" s="408"/>
    </row>
    <row r="820" ht="14.25" customHeight="1">
      <c r="C820" s="408"/>
    </row>
    <row r="821" ht="14.25" customHeight="1">
      <c r="C821" s="408"/>
    </row>
    <row r="822" ht="14.25" customHeight="1">
      <c r="C822" s="408"/>
    </row>
    <row r="823" ht="14.25" customHeight="1">
      <c r="C823" s="408"/>
    </row>
    <row r="824" ht="14.25" customHeight="1">
      <c r="C824" s="408"/>
    </row>
    <row r="825" ht="14.25" customHeight="1">
      <c r="C825" s="408"/>
    </row>
    <row r="826" ht="14.25" customHeight="1">
      <c r="C826" s="408"/>
    </row>
    <row r="827" ht="14.25" customHeight="1">
      <c r="C827" s="408"/>
    </row>
    <row r="828" ht="14.25" customHeight="1">
      <c r="C828" s="408"/>
    </row>
    <row r="829" ht="14.25" customHeight="1">
      <c r="C829" s="408"/>
    </row>
    <row r="830" ht="14.25" customHeight="1">
      <c r="C830" s="408"/>
    </row>
    <row r="831" ht="14.25" customHeight="1">
      <c r="C831" s="408"/>
    </row>
    <row r="832" ht="14.25" customHeight="1">
      <c r="C832" s="408"/>
    </row>
    <row r="833" ht="14.25" customHeight="1">
      <c r="C833" s="408"/>
    </row>
    <row r="834" ht="14.25" customHeight="1">
      <c r="C834" s="408"/>
    </row>
    <row r="835" ht="14.25" customHeight="1">
      <c r="C835" s="408"/>
    </row>
    <row r="836" ht="14.25" customHeight="1">
      <c r="C836" s="408"/>
    </row>
    <row r="837" ht="14.25" customHeight="1">
      <c r="C837" s="408"/>
    </row>
    <row r="838" ht="14.25" customHeight="1">
      <c r="C838" s="408"/>
    </row>
    <row r="839" ht="14.25" customHeight="1">
      <c r="C839" s="408"/>
    </row>
    <row r="840" ht="14.25" customHeight="1">
      <c r="C840" s="408"/>
    </row>
    <row r="841" ht="14.25" customHeight="1">
      <c r="C841" s="408"/>
    </row>
    <row r="842" ht="14.25" customHeight="1">
      <c r="C842" s="408"/>
    </row>
    <row r="843" ht="14.25" customHeight="1">
      <c r="C843" s="408"/>
    </row>
    <row r="844" ht="14.25" customHeight="1">
      <c r="C844" s="408"/>
    </row>
    <row r="845" ht="14.25" customHeight="1">
      <c r="C845" s="408"/>
    </row>
    <row r="846" ht="14.25" customHeight="1">
      <c r="C846" s="408"/>
    </row>
    <row r="847" ht="14.25" customHeight="1">
      <c r="C847" s="408"/>
    </row>
    <row r="848" ht="14.25" customHeight="1">
      <c r="C848" s="408"/>
    </row>
    <row r="849" ht="14.25" customHeight="1">
      <c r="C849" s="408"/>
    </row>
    <row r="850" ht="14.25" customHeight="1">
      <c r="C850" s="408"/>
    </row>
    <row r="851" ht="14.25" customHeight="1">
      <c r="C851" s="408"/>
    </row>
    <row r="852" ht="14.25" customHeight="1">
      <c r="C852" s="408"/>
    </row>
    <row r="853" ht="14.25" customHeight="1">
      <c r="C853" s="408"/>
    </row>
    <row r="854" ht="14.25" customHeight="1">
      <c r="C854" s="408"/>
    </row>
    <row r="855" ht="14.25" customHeight="1">
      <c r="C855" s="408"/>
    </row>
    <row r="856" ht="14.25" customHeight="1">
      <c r="C856" s="408"/>
    </row>
    <row r="857" ht="14.25" customHeight="1">
      <c r="C857" s="408"/>
    </row>
    <row r="858" ht="14.25" customHeight="1">
      <c r="C858" s="408"/>
    </row>
    <row r="859" ht="14.25" customHeight="1">
      <c r="C859" s="408"/>
    </row>
    <row r="860" ht="14.25" customHeight="1">
      <c r="C860" s="408"/>
    </row>
    <row r="861" ht="14.25" customHeight="1">
      <c r="C861" s="408"/>
    </row>
    <row r="862" ht="14.25" customHeight="1">
      <c r="C862" s="408"/>
    </row>
    <row r="863" ht="14.25" customHeight="1">
      <c r="C863" s="408"/>
    </row>
    <row r="864" ht="14.25" customHeight="1">
      <c r="C864" s="408"/>
    </row>
    <row r="865" ht="14.25" customHeight="1">
      <c r="C865" s="408"/>
    </row>
    <row r="866" ht="14.25" customHeight="1">
      <c r="C866" s="408"/>
    </row>
    <row r="867" ht="14.25" customHeight="1">
      <c r="C867" s="408"/>
    </row>
    <row r="868" ht="14.25" customHeight="1">
      <c r="C868" s="408"/>
    </row>
    <row r="869" ht="14.25" customHeight="1">
      <c r="C869" s="408"/>
    </row>
    <row r="870" ht="14.25" customHeight="1">
      <c r="C870" s="408"/>
    </row>
    <row r="871" ht="14.25" customHeight="1">
      <c r="C871" s="408"/>
    </row>
    <row r="872" ht="14.25" customHeight="1">
      <c r="C872" s="408"/>
    </row>
    <row r="873" ht="14.25" customHeight="1">
      <c r="C873" s="408"/>
    </row>
    <row r="874" ht="14.25" customHeight="1">
      <c r="C874" s="408"/>
    </row>
    <row r="875" ht="14.25" customHeight="1">
      <c r="C875" s="408"/>
    </row>
    <row r="876" ht="14.25" customHeight="1">
      <c r="C876" s="408"/>
    </row>
    <row r="877" ht="14.25" customHeight="1">
      <c r="C877" s="408"/>
    </row>
    <row r="878" ht="14.25" customHeight="1">
      <c r="C878" s="408"/>
    </row>
    <row r="879" ht="14.25" customHeight="1">
      <c r="C879" s="408"/>
    </row>
    <row r="880" ht="14.25" customHeight="1">
      <c r="C880" s="408"/>
    </row>
    <row r="881" ht="14.25" customHeight="1">
      <c r="C881" s="408"/>
    </row>
    <row r="882" ht="14.25" customHeight="1">
      <c r="C882" s="408"/>
    </row>
    <row r="883" ht="14.25" customHeight="1">
      <c r="C883" s="408"/>
    </row>
    <row r="884" ht="14.25" customHeight="1">
      <c r="C884" s="408"/>
    </row>
    <row r="885" ht="14.25" customHeight="1">
      <c r="C885" s="408"/>
    </row>
    <row r="886" ht="14.25" customHeight="1">
      <c r="C886" s="408"/>
    </row>
    <row r="887" ht="14.25" customHeight="1">
      <c r="C887" s="408"/>
    </row>
    <row r="888" ht="14.25" customHeight="1">
      <c r="C888" s="408"/>
    </row>
    <row r="889" ht="14.25" customHeight="1">
      <c r="C889" s="408"/>
    </row>
    <row r="890" ht="14.25" customHeight="1">
      <c r="C890" s="408"/>
    </row>
    <row r="891" ht="14.25" customHeight="1">
      <c r="C891" s="408"/>
    </row>
    <row r="892" ht="14.25" customHeight="1">
      <c r="C892" s="408"/>
    </row>
    <row r="893" ht="14.25" customHeight="1">
      <c r="C893" s="408"/>
    </row>
    <row r="894" ht="14.25" customHeight="1">
      <c r="C894" s="408"/>
    </row>
    <row r="895" ht="14.25" customHeight="1">
      <c r="C895" s="408"/>
    </row>
    <row r="896" ht="14.25" customHeight="1">
      <c r="C896" s="408"/>
    </row>
    <row r="897" ht="14.25" customHeight="1">
      <c r="C897" s="408"/>
    </row>
    <row r="898" ht="14.25" customHeight="1">
      <c r="C898" s="408"/>
    </row>
    <row r="899" ht="14.25" customHeight="1">
      <c r="C899" s="408"/>
    </row>
    <row r="900" ht="14.25" customHeight="1">
      <c r="C900" s="408"/>
    </row>
    <row r="901" ht="14.25" customHeight="1">
      <c r="C901" s="408"/>
    </row>
    <row r="902" ht="14.25" customHeight="1">
      <c r="C902" s="408"/>
    </row>
    <row r="903" ht="14.25" customHeight="1">
      <c r="C903" s="408"/>
    </row>
    <row r="904" ht="14.25" customHeight="1">
      <c r="C904" s="408"/>
    </row>
    <row r="905" ht="14.25" customHeight="1">
      <c r="C905" s="408"/>
    </row>
    <row r="906" ht="14.25" customHeight="1">
      <c r="C906" s="408"/>
    </row>
    <row r="907" ht="14.25" customHeight="1">
      <c r="C907" s="408"/>
    </row>
    <row r="908" ht="14.25" customHeight="1">
      <c r="C908" s="408"/>
    </row>
    <row r="909" ht="14.25" customHeight="1">
      <c r="C909" s="408"/>
    </row>
    <row r="910" ht="14.25" customHeight="1">
      <c r="C910" s="408"/>
    </row>
    <row r="911" ht="14.25" customHeight="1">
      <c r="C911" s="408"/>
    </row>
    <row r="912" ht="14.25" customHeight="1">
      <c r="C912" s="408"/>
    </row>
    <row r="913" ht="14.25" customHeight="1">
      <c r="C913" s="408"/>
    </row>
    <row r="914" ht="14.25" customHeight="1">
      <c r="C914" s="408"/>
    </row>
    <row r="915" ht="14.25" customHeight="1">
      <c r="C915" s="408"/>
    </row>
    <row r="916" ht="14.25" customHeight="1">
      <c r="C916" s="408"/>
    </row>
    <row r="917" ht="14.25" customHeight="1">
      <c r="C917" s="408"/>
    </row>
    <row r="918" ht="14.25" customHeight="1">
      <c r="C918" s="408"/>
    </row>
    <row r="919" ht="14.25" customHeight="1">
      <c r="C919" s="408"/>
    </row>
    <row r="920" ht="14.25" customHeight="1">
      <c r="C920" s="408"/>
    </row>
    <row r="921" ht="14.25" customHeight="1">
      <c r="C921" s="408"/>
    </row>
    <row r="922" ht="14.25" customHeight="1">
      <c r="C922" s="408"/>
    </row>
    <row r="923" ht="14.25" customHeight="1">
      <c r="C923" s="408"/>
    </row>
    <row r="924" ht="14.25" customHeight="1">
      <c r="C924" s="408"/>
    </row>
    <row r="925" ht="14.25" customHeight="1">
      <c r="C925" s="408"/>
    </row>
    <row r="926" ht="14.25" customHeight="1">
      <c r="C926" s="408"/>
    </row>
    <row r="927" ht="14.25" customHeight="1">
      <c r="C927" s="408"/>
    </row>
    <row r="928" ht="14.25" customHeight="1">
      <c r="C928" s="408"/>
    </row>
    <row r="929" ht="14.25" customHeight="1">
      <c r="C929" s="408"/>
    </row>
    <row r="930" ht="14.25" customHeight="1">
      <c r="C930" s="408"/>
    </row>
    <row r="931" ht="14.25" customHeight="1">
      <c r="C931" s="408"/>
    </row>
    <row r="932" ht="14.25" customHeight="1">
      <c r="C932" s="408"/>
    </row>
    <row r="933" ht="14.25" customHeight="1">
      <c r="C933" s="408"/>
    </row>
    <row r="934" ht="14.25" customHeight="1">
      <c r="C934" s="408"/>
    </row>
    <row r="935" ht="14.25" customHeight="1">
      <c r="C935" s="408"/>
    </row>
    <row r="936" ht="14.25" customHeight="1">
      <c r="C936" s="408"/>
    </row>
    <row r="937" ht="14.25" customHeight="1">
      <c r="C937" s="408"/>
    </row>
    <row r="938" ht="14.25" customHeight="1">
      <c r="C938" s="408"/>
    </row>
    <row r="939" ht="14.25" customHeight="1">
      <c r="C939" s="408"/>
    </row>
    <row r="940" ht="14.25" customHeight="1">
      <c r="C940" s="408"/>
    </row>
    <row r="941" ht="14.25" customHeight="1">
      <c r="C941" s="408"/>
    </row>
    <row r="942" ht="14.25" customHeight="1">
      <c r="C942" s="408"/>
    </row>
    <row r="943" ht="14.25" customHeight="1">
      <c r="C943" s="408"/>
    </row>
    <row r="944" ht="14.25" customHeight="1">
      <c r="C944" s="408"/>
    </row>
    <row r="945" ht="14.25" customHeight="1">
      <c r="C945" s="408"/>
    </row>
    <row r="946" ht="14.25" customHeight="1">
      <c r="C946" s="408"/>
    </row>
    <row r="947" ht="14.25" customHeight="1">
      <c r="C947" s="408"/>
    </row>
    <row r="948" ht="14.25" customHeight="1">
      <c r="C948" s="408"/>
    </row>
    <row r="949" ht="14.25" customHeight="1">
      <c r="C949" s="408"/>
    </row>
    <row r="950" ht="14.25" customHeight="1">
      <c r="C950" s="408"/>
    </row>
    <row r="951" ht="14.25" customHeight="1">
      <c r="C951" s="408"/>
    </row>
    <row r="952" ht="14.25" customHeight="1">
      <c r="C952" s="408"/>
    </row>
    <row r="953" ht="14.25" customHeight="1">
      <c r="C953" s="408"/>
    </row>
    <row r="954" ht="14.25" customHeight="1">
      <c r="C954" s="408"/>
    </row>
    <row r="955" ht="14.25" customHeight="1">
      <c r="C955" s="408"/>
    </row>
    <row r="956" ht="14.25" customHeight="1">
      <c r="C956" s="408"/>
    </row>
    <row r="957" ht="14.25" customHeight="1">
      <c r="C957" s="408"/>
    </row>
    <row r="958" ht="14.25" customHeight="1">
      <c r="C958" s="408"/>
    </row>
    <row r="959" ht="14.25" customHeight="1">
      <c r="C959" s="408"/>
    </row>
    <row r="960" ht="14.25" customHeight="1">
      <c r="C960" s="408"/>
    </row>
    <row r="961" ht="14.25" customHeight="1">
      <c r="C961" s="408"/>
    </row>
    <row r="962" ht="14.25" customHeight="1">
      <c r="C962" s="408"/>
    </row>
    <row r="963" ht="14.25" customHeight="1">
      <c r="C963" s="408"/>
    </row>
    <row r="964" ht="14.25" customHeight="1">
      <c r="C964" s="408"/>
    </row>
    <row r="965" ht="14.25" customHeight="1">
      <c r="C965" s="408"/>
    </row>
    <row r="966" ht="14.25" customHeight="1">
      <c r="C966" s="408"/>
    </row>
    <row r="967" ht="14.25" customHeight="1">
      <c r="C967" s="408"/>
    </row>
    <row r="968" ht="14.25" customHeight="1">
      <c r="C968" s="408"/>
    </row>
    <row r="969" ht="14.25" customHeight="1">
      <c r="C969" s="408"/>
    </row>
    <row r="970" ht="14.25" customHeight="1">
      <c r="C970" s="408"/>
    </row>
    <row r="971" ht="14.25" customHeight="1">
      <c r="C971" s="408"/>
    </row>
    <row r="972" ht="14.25" customHeight="1">
      <c r="C972" s="408"/>
    </row>
    <row r="973" ht="14.25" customHeight="1">
      <c r="C973" s="408"/>
    </row>
    <row r="974" ht="14.25" customHeight="1">
      <c r="C974" s="408"/>
    </row>
    <row r="975" ht="14.25" customHeight="1">
      <c r="C975" s="408"/>
    </row>
    <row r="976" ht="14.25" customHeight="1">
      <c r="C976" s="408"/>
    </row>
    <row r="977" ht="14.25" customHeight="1">
      <c r="C977" s="408"/>
    </row>
    <row r="978" ht="14.25" customHeight="1">
      <c r="C978" s="408"/>
    </row>
    <row r="979" ht="14.25" customHeight="1">
      <c r="C979" s="408"/>
    </row>
    <row r="980" ht="14.25" customHeight="1">
      <c r="C980" s="408"/>
    </row>
    <row r="981" ht="14.25" customHeight="1">
      <c r="C981" s="408"/>
    </row>
    <row r="982" ht="14.25" customHeight="1">
      <c r="C982" s="408"/>
    </row>
    <row r="983" ht="14.25" customHeight="1">
      <c r="C983" s="408"/>
    </row>
    <row r="984" ht="14.25" customHeight="1">
      <c r="C984" s="408"/>
    </row>
    <row r="985" ht="14.25" customHeight="1">
      <c r="C985" s="408"/>
    </row>
    <row r="986" ht="14.25" customHeight="1">
      <c r="C986" s="408"/>
    </row>
    <row r="987" ht="14.25" customHeight="1">
      <c r="C987" s="408"/>
    </row>
    <row r="988" ht="14.25" customHeight="1">
      <c r="C988" s="408"/>
    </row>
    <row r="989" ht="14.25" customHeight="1">
      <c r="C989" s="408"/>
    </row>
    <row r="990" ht="14.25" customHeight="1">
      <c r="C990" s="408"/>
    </row>
    <row r="991" ht="14.25" customHeight="1">
      <c r="C991" s="408"/>
    </row>
    <row r="992" ht="14.25" customHeight="1">
      <c r="C992" s="408"/>
    </row>
    <row r="993" ht="14.25" customHeight="1">
      <c r="C993" s="408"/>
    </row>
    <row r="994" ht="14.25" customHeight="1">
      <c r="C994" s="408"/>
    </row>
    <row r="995" ht="14.25" customHeight="1">
      <c r="C995" s="408"/>
    </row>
    <row r="996" ht="14.25" customHeight="1">
      <c r="C996" s="408"/>
    </row>
    <row r="997" ht="14.25" customHeight="1">
      <c r="C997" s="408"/>
    </row>
    <row r="998" ht="14.25" customHeight="1">
      <c r="C998" s="408"/>
    </row>
    <row r="999" ht="14.25" customHeight="1">
      <c r="C999" s="408"/>
    </row>
    <row r="1000" ht="14.25" customHeight="1">
      <c r="C1000" s="408"/>
    </row>
    <row r="1001" ht="14.25" customHeight="1">
      <c r="C1001" s="408"/>
    </row>
    <row r="1002" ht="14.25" customHeight="1">
      <c r="C1002" s="408"/>
    </row>
    <row r="1003" ht="14.25" customHeight="1">
      <c r="C1003" s="408"/>
    </row>
  </sheetData>
  <conditionalFormatting sqref="D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ErrorMessage="1" sqref="D2:D14">
      <formula1>"Низкий,Средний,Высокий,Отсутствует"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