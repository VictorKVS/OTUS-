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__OTUS__/AI_ARCHITECTURE/__s16__/"/>
    </mc:Choice>
  </mc:AlternateContent>
  <xr:revisionPtr revIDLastSave="0" documentId="13_ncr:1_{D25566A7-E8F2-BF46-B68E-D5EE053EABA7}" xr6:coauthVersionLast="45" xr6:coauthVersionMax="47" xr10:uidLastSave="{00000000-0000-0000-0000-000000000000}"/>
  <bookViews>
    <workbookView xWindow="3260" yWindow="660" windowWidth="25160" windowHeight="16800" xr2:uid="{966B9BE5-962C-084B-98A1-BFD0A197281C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8" i="2" l="1"/>
  <c r="F59" i="2"/>
  <c r="F58" i="2"/>
  <c r="G65" i="2"/>
  <c r="G58" i="2"/>
  <c r="H66" i="2"/>
  <c r="H67" i="2" s="1"/>
  <c r="H65" i="2"/>
  <c r="H16" i="2"/>
  <c r="H11" i="2"/>
  <c r="H33" i="2" s="1"/>
  <c r="H10" i="2"/>
  <c r="G16" i="2"/>
  <c r="G11" i="2"/>
  <c r="G45" i="2" s="1"/>
  <c r="E41" i="2"/>
  <c r="F33" i="2"/>
  <c r="F29" i="2"/>
  <c r="F28" i="2"/>
  <c r="F16" i="2"/>
  <c r="F11" i="2"/>
  <c r="F60" i="2" s="1"/>
  <c r="G59" i="2" l="1"/>
  <c r="G68" i="2" s="1"/>
  <c r="G60" i="2"/>
  <c r="G61" i="2"/>
  <c r="F61" i="2"/>
  <c r="F68" i="2" s="1"/>
  <c r="F15" i="2"/>
  <c r="G62" i="2"/>
  <c r="F62" i="2"/>
  <c r="G63" i="2"/>
  <c r="F63" i="2"/>
  <c r="F27" i="2"/>
  <c r="F34" i="2" s="1"/>
  <c r="H45" i="2"/>
  <c r="G64" i="2"/>
  <c r="F64" i="2"/>
  <c r="F65" i="2"/>
  <c r="F66" i="2"/>
  <c r="F67" i="2" s="1"/>
  <c r="G66" i="2"/>
  <c r="G67" i="2"/>
  <c r="G33" i="2"/>
  <c r="H40" i="2" s="1"/>
  <c r="F30" i="2"/>
  <c r="G15" i="2"/>
  <c r="H30" i="2"/>
  <c r="H62" i="2"/>
  <c r="H58" i="2"/>
  <c r="G30" i="2"/>
  <c r="H60" i="2"/>
  <c r="G10" i="2"/>
  <c r="G32" i="2"/>
  <c r="H29" i="2"/>
  <c r="H36" i="2" s="1"/>
  <c r="G34" i="2"/>
  <c r="F45" i="2"/>
  <c r="G29" i="2"/>
  <c r="H64" i="2"/>
  <c r="G31" i="2"/>
  <c r="H28" i="2"/>
  <c r="H63" i="2"/>
  <c r="H59" i="2"/>
  <c r="F31" i="2"/>
  <c r="F10" i="2"/>
  <c r="F32" i="2"/>
  <c r="G28" i="2"/>
  <c r="G35" i="2" s="1"/>
  <c r="H61" i="2"/>
  <c r="H32" i="2"/>
  <c r="H31" i="2"/>
  <c r="H34" i="2"/>
  <c r="H15" i="2"/>
  <c r="F40" i="2" l="1"/>
  <c r="G40" i="2"/>
  <c r="H35" i="2"/>
  <c r="H68" i="2"/>
  <c r="F36" i="2"/>
  <c r="G37" i="2"/>
  <c r="F37" i="2"/>
  <c r="G36" i="2"/>
  <c r="F35" i="2"/>
  <c r="H39" i="2"/>
  <c r="H37" i="2"/>
  <c r="F17" i="2"/>
  <c r="G17" i="2"/>
  <c r="F38" i="2"/>
  <c r="H38" i="2"/>
  <c r="G38" i="2"/>
  <c r="G39" i="2"/>
  <c r="F39" i="2"/>
  <c r="H17" i="2"/>
  <c r="H41" i="2" l="1"/>
  <c r="H71" i="2" s="1"/>
  <c r="G41" i="2"/>
  <c r="G71" i="2" s="1"/>
  <c r="F41" i="2"/>
  <c r="F71" i="2" s="1"/>
</calcChain>
</file>

<file path=xl/sharedStrings.xml><?xml version="1.0" encoding="utf-8"?>
<sst xmlns="http://schemas.openxmlformats.org/spreadsheetml/2006/main" count="63" uniqueCount="59">
  <si>
    <t>Наличие режима active-active тома между 2x СХД, да/нет</t>
  </si>
  <si>
    <t>Полезная емкость на 1 СХД не менее, оценка</t>
  </si>
  <si>
    <t>Дедупликация и компрессия, да/нет</t>
  </si>
  <si>
    <t>НЕ ДУБЛИКАТ</t>
  </si>
  <si>
    <t>Общая стоимость, $</t>
  </si>
  <si>
    <t>Стоимость за ТБ, $</t>
  </si>
  <si>
    <t>Общая стоимость, $, оценка</t>
  </si>
  <si>
    <t>Поддержка контроллерами технологии Full mesh</t>
  </si>
  <si>
    <t>Производительность контроллеров</t>
  </si>
  <si>
    <t>Отказоустойчивая конфигурация (не менее 1х контроллеров)</t>
  </si>
  <si>
    <t>да</t>
  </si>
  <si>
    <t>Сохранность данных при сбоях дисков в количестве не менее, шт.</t>
  </si>
  <si>
    <t>Количество портов ВВ не менее, шт.</t>
  </si>
  <si>
    <t>Скорость портов ВВ не менее, Gb/s</t>
  </si>
  <si>
    <t>FC</t>
  </si>
  <si>
    <t>Число операций ВВ</t>
  </si>
  <si>
    <t>Поддержка контроллерами технологии Full mesh, оценка</t>
  </si>
  <si>
    <t>Производительность контроллеров, оценка</t>
  </si>
  <si>
    <t>Отказоустойчивая конфигурация (не менее 2X контроллеров), оценка</t>
  </si>
  <si>
    <t>Сохранность данных при сбоях дисков в количестве не менее, шт., оценка</t>
  </si>
  <si>
    <t>Количество портов ВВ не менее, шт., оценка</t>
  </si>
  <si>
    <t>Скорость портов ВВ не менее, Gb/s, оценка</t>
  </si>
  <si>
    <t>Число операций вВ, оценка</t>
  </si>
  <si>
    <t>ИТОГОВЫЙ БАЛЛ ПО СИНЕЙ ЗОНЕ</t>
  </si>
  <si>
    <t>Оценка санкционного риска</t>
  </si>
  <si>
    <t>Оценка санкционного риска, оценка</t>
  </si>
  <si>
    <t>Реализация функционала active-active</t>
  </si>
  <si>
    <t>End-of-Service-Life предлагаемой модели не ранее 2025 года</t>
  </si>
  <si>
    <t>Наличие расширенной технической поддержки</t>
  </si>
  <si>
    <t>Тип портов BB, FC/Eth</t>
  </si>
  <si>
    <t>Тонкое выделение ресурсов, да/нет</t>
  </si>
  <si>
    <t>Тип дисков поддерживаемый СХД, NVMe/SSD/SAS/NL-SAS</t>
  </si>
  <si>
    <t>NVMe/SSD</t>
  </si>
  <si>
    <t>Мгновенные снимки типа redirect-on-write, да/нет</t>
  </si>
  <si>
    <t>Размер RAID-группы данные + четность, шт.</t>
  </si>
  <si>
    <t>6+1</t>
  </si>
  <si>
    <t>Синхронная репликация, да/нет</t>
  </si>
  <si>
    <t>Асинхронная репликация, да/нет</t>
  </si>
  <si>
    <t>Реализация функционала active-active, оценка</t>
  </si>
  <si>
    <t>End-of-Service-Life предлагаемой модели не ранее 2025 года, оценка</t>
  </si>
  <si>
    <t>Наличие расширенной технической поддержки, оценка</t>
  </si>
  <si>
    <t>Тип портов ВВ, FC/Eth, оценка</t>
  </si>
  <si>
    <t>Тонкое выделение ресурсов, да/нет, оценка</t>
  </si>
  <si>
    <t>Тип дисков поддерживаемый СХД, NVMe/SSD/SAS/NL-SAS, оценка</t>
  </si>
  <si>
    <t>Мгновенные снимки типа redirect-on-write, да/нет, оценка</t>
  </si>
  <si>
    <t>Размер RAID-группы данные + четность, шт., оценка</t>
  </si>
  <si>
    <t>Синхронная репликация, да/нет, оценка</t>
  </si>
  <si>
    <t>Асинхронная репликация, да/нет, оценка</t>
  </si>
  <si>
    <t>ИТОГОВЫЙ БАЛЛ ПО СЕРОЙ ЗОНЕ</t>
  </si>
  <si>
    <t>Полезная емкость на 1 СХД без использования коэффициентов дедупликации и компрессии не менее, Тів</t>
  </si>
  <si>
    <t>Максимальная полезная емкость без использования коэффициентов дедупликации и компрессии не менее, ТіВ</t>
  </si>
  <si>
    <t>Максимальная полезная емкость без использования коэффициентов дедупликации и компрессии не менее, оценка</t>
  </si>
  <si>
    <t>Характеристика</t>
  </si>
  <si>
    <t>Требования</t>
  </si>
  <si>
    <t>Вес</t>
  </si>
  <si>
    <t>компания 1</t>
  </si>
  <si>
    <t>компания 2</t>
  </si>
  <si>
    <t>компания 3</t>
  </si>
  <si>
    <t>ИТОГОВЫЙ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</si>
</sst>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rgb="FFFF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Fill="1"/>
    <xf numFmtId="164" fontId="4" fillId="0" borderId="0" xfId="1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2" fillId="0" borderId="0" xfId="0" applyFont="1"/>
    <xf numFmtId="164" fontId="2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B374-3230-E241-80B6-48B95024A14F}">
  <dimension ref="B2:H71"/>
  <sheetViews>
    <sheetView tabSelected="1" workbookViewId="0">
      <selection activeCell="C68" sqref="C68"/>
    </sheetView>
  </sheetViews>
  <sheetFormatPr baseColWidth="10" defaultRowHeight="16" x14ac:dyDescent="0.2"/>
  <cols>
    <col min="1" max="1" width="4.83203125" customWidth="1"/>
    <col min="2" max="2" width="6.33203125" style="6" customWidth="1"/>
    <col min="3" max="3" width="75.6640625" style="3" customWidth="1"/>
    <col min="4" max="4" width="18" customWidth="1"/>
    <col min="5" max="5" width="15.5" customWidth="1"/>
    <col min="6" max="6" width="18.83203125" style="10" customWidth="1"/>
    <col min="7" max="7" width="20" style="10" customWidth="1"/>
    <col min="8" max="8" width="20.5" style="10" customWidth="1"/>
  </cols>
  <sheetData>
    <row r="2" spans="2:8" ht="22" x14ac:dyDescent="0.25">
      <c r="C2" s="4" t="s">
        <v>52</v>
      </c>
      <c r="D2" s="5" t="s">
        <v>53</v>
      </c>
      <c r="E2" s="5" t="s">
        <v>54</v>
      </c>
      <c r="F2" s="9" t="s">
        <v>55</v>
      </c>
      <c r="G2" s="9" t="s">
        <v>56</v>
      </c>
      <c r="H2" s="9" t="s">
        <v>57</v>
      </c>
    </row>
    <row r="3" spans="2:8" ht="17" x14ac:dyDescent="0.2">
      <c r="B3" s="7">
        <v>1</v>
      </c>
      <c r="C3" s="2" t="s">
        <v>0</v>
      </c>
      <c r="F3" s="10">
        <v>1</v>
      </c>
      <c r="G3" s="10">
        <v>1</v>
      </c>
      <c r="H3" s="10">
        <v>1</v>
      </c>
    </row>
    <row r="4" spans="2:8" ht="34" x14ac:dyDescent="0.2">
      <c r="B4" s="7">
        <v>2</v>
      </c>
      <c r="C4" s="2" t="s">
        <v>49</v>
      </c>
      <c r="F4" s="10">
        <v>812</v>
      </c>
      <c r="G4" s="10">
        <v>821</v>
      </c>
      <c r="H4" s="10">
        <v>788</v>
      </c>
    </row>
    <row r="5" spans="2:8" ht="17" x14ac:dyDescent="0.2">
      <c r="B5" s="7">
        <v>3</v>
      </c>
      <c r="C5" s="2" t="s">
        <v>1</v>
      </c>
      <c r="F5" s="10">
        <v>1</v>
      </c>
      <c r="G5" s="10">
        <v>1</v>
      </c>
      <c r="H5" s="10">
        <v>1</v>
      </c>
    </row>
    <row r="6" spans="2:8" ht="34" x14ac:dyDescent="0.2">
      <c r="B6" s="7">
        <v>4</v>
      </c>
      <c r="C6" s="2" t="s">
        <v>50</v>
      </c>
      <c r="F6" s="10">
        <v>16384</v>
      </c>
      <c r="G6" s="10">
        <v>69000</v>
      </c>
      <c r="H6" s="10">
        <v>17000</v>
      </c>
    </row>
    <row r="7" spans="2:8" ht="34" x14ac:dyDescent="0.2">
      <c r="B7" s="7">
        <v>5</v>
      </c>
      <c r="C7" s="2" t="s">
        <v>51</v>
      </c>
      <c r="F7" s="10">
        <v>1</v>
      </c>
      <c r="G7" s="10">
        <v>1</v>
      </c>
      <c r="H7" s="10">
        <v>1</v>
      </c>
    </row>
    <row r="8" spans="2:8" ht="17" x14ac:dyDescent="0.2">
      <c r="B8" s="7">
        <v>6</v>
      </c>
      <c r="C8" s="2" t="s">
        <v>2</v>
      </c>
      <c r="F8" s="10">
        <v>1</v>
      </c>
      <c r="G8" s="10">
        <v>1</v>
      </c>
      <c r="H8" s="10">
        <v>1</v>
      </c>
    </row>
    <row r="9" spans="2:8" ht="17" x14ac:dyDescent="0.2">
      <c r="B9" s="7">
        <v>7</v>
      </c>
      <c r="C9" s="2" t="s">
        <v>3</v>
      </c>
      <c r="F9" s="10">
        <v>1</v>
      </c>
      <c r="G9" s="10">
        <v>1</v>
      </c>
      <c r="H9" s="10">
        <v>1</v>
      </c>
    </row>
    <row r="10" spans="2:8" x14ac:dyDescent="0.2">
      <c r="B10" s="7"/>
      <c r="C10" s="2"/>
      <c r="F10" s="10" t="str">
        <f>IF(F11,"принято к рассмотрению","исключено из рассмортения")</f>
        <v>принято к рассмотрению</v>
      </c>
      <c r="G10" s="10" t="str">
        <f>IF(G11,"принято к рассмотрению","исключено из рассмортения")</f>
        <v>принято к рассмотрению</v>
      </c>
      <c r="H10" s="10" t="str">
        <f>IF(H11,"принято к рассмотрению","исключено из рассмортения")</f>
        <v>принято к рассмотрению</v>
      </c>
    </row>
    <row r="11" spans="2:8" x14ac:dyDescent="0.2">
      <c r="B11" s="7"/>
      <c r="C11" s="2"/>
      <c r="F11" s="10" t="b">
        <f>AND(F5,F3,F7,F8,F9)</f>
        <v>1</v>
      </c>
      <c r="G11" s="10" t="b">
        <f>AND(G5,G3,G7,G8,G9)</f>
        <v>1</v>
      </c>
      <c r="H11" s="10" t="b">
        <f>AND(H5,H3,H7,H8,H9)</f>
        <v>1</v>
      </c>
    </row>
    <row r="12" spans="2:8" x14ac:dyDescent="0.2">
      <c r="B12" s="13"/>
      <c r="C12" s="14"/>
      <c r="D12" s="15"/>
      <c r="E12" s="15"/>
      <c r="F12" s="16"/>
      <c r="G12" s="16"/>
      <c r="H12" s="16"/>
    </row>
    <row r="13" spans="2:8" x14ac:dyDescent="0.2">
      <c r="B13" s="13"/>
      <c r="C13" s="14"/>
      <c r="D13" s="15"/>
      <c r="E13" s="15"/>
      <c r="F13" s="16"/>
      <c r="G13" s="16"/>
      <c r="H13" s="16"/>
    </row>
    <row r="14" spans="2:8" ht="17" x14ac:dyDescent="0.2">
      <c r="B14" s="7">
        <v>8</v>
      </c>
      <c r="C14" s="2" t="s">
        <v>4</v>
      </c>
      <c r="F14" s="10">
        <v>1</v>
      </c>
      <c r="G14" s="10">
        <v>2</v>
      </c>
      <c r="H14" s="10">
        <v>6</v>
      </c>
    </row>
    <row r="15" spans="2:8" x14ac:dyDescent="0.2">
      <c r="B15" s="7"/>
      <c r="C15" s="2"/>
      <c r="F15" s="10">
        <f>IF(F11,F14,"-")</f>
        <v>1</v>
      </c>
      <c r="G15" s="10">
        <f>IF(G11,G14,"-")</f>
        <v>2</v>
      </c>
      <c r="H15" s="10">
        <f>IF(H11,H14,"-")</f>
        <v>6</v>
      </c>
    </row>
    <row r="16" spans="2:8" ht="17" x14ac:dyDescent="0.2">
      <c r="B16" s="7">
        <v>9</v>
      </c>
      <c r="C16" s="2" t="s">
        <v>5</v>
      </c>
      <c r="F16" s="10">
        <f>F14/F4</f>
        <v>1.2315270935960591E-3</v>
      </c>
      <c r="G16" s="10">
        <f>G14/G4</f>
        <v>2.4360535931790498E-3</v>
      </c>
      <c r="H16" s="10">
        <f>H14/H4</f>
        <v>7.6142131979695434E-3</v>
      </c>
    </row>
    <row r="17" spans="2:8" ht="17" x14ac:dyDescent="0.2">
      <c r="B17" s="7">
        <v>10</v>
      </c>
      <c r="C17" s="2" t="s">
        <v>6</v>
      </c>
      <c r="E17">
        <v>40</v>
      </c>
      <c r="F17" s="10">
        <f>MIN($F$15:$K$15)/F14*$E$17*F11</f>
        <v>40</v>
      </c>
      <c r="G17" s="10">
        <f>MIN($F$15:$K$15)/G14*$E$17*G11</f>
        <v>20</v>
      </c>
      <c r="H17" s="10">
        <f>MIN($F$15:$K$15)/H14*$E$17*H11</f>
        <v>6.6666666666666661</v>
      </c>
    </row>
    <row r="18" spans="2:8" x14ac:dyDescent="0.2">
      <c r="B18" s="7"/>
      <c r="C18" s="2"/>
    </row>
    <row r="19" spans="2:8" x14ac:dyDescent="0.2">
      <c r="B19" s="7"/>
      <c r="C19" s="2"/>
    </row>
    <row r="20" spans="2:8" ht="17" x14ac:dyDescent="0.2">
      <c r="B20" s="7">
        <v>11</v>
      </c>
      <c r="C20" s="2" t="s">
        <v>7</v>
      </c>
      <c r="D20" s="1"/>
      <c r="F20" s="10">
        <v>0</v>
      </c>
      <c r="G20" s="10">
        <v>6</v>
      </c>
      <c r="H20" s="10">
        <v>0</v>
      </c>
    </row>
    <row r="21" spans="2:8" ht="17" x14ac:dyDescent="0.2">
      <c r="B21" s="7">
        <v>12</v>
      </c>
      <c r="C21" s="2" t="s">
        <v>8</v>
      </c>
      <c r="D21" s="1"/>
      <c r="F21" s="10">
        <v>1000000</v>
      </c>
      <c r="G21" s="10">
        <v>2625000</v>
      </c>
      <c r="H21" s="10">
        <v>700000</v>
      </c>
    </row>
    <row r="22" spans="2:8" ht="17" x14ac:dyDescent="0.2">
      <c r="B22" s="7">
        <v>13</v>
      </c>
      <c r="C22" s="2" t="s">
        <v>9</v>
      </c>
      <c r="D22" s="1" t="s">
        <v>10</v>
      </c>
      <c r="F22" s="10">
        <v>4</v>
      </c>
      <c r="G22" s="10">
        <v>4</v>
      </c>
      <c r="H22" s="10">
        <v>4</v>
      </c>
    </row>
    <row r="23" spans="2:8" ht="17" x14ac:dyDescent="0.2">
      <c r="B23" s="7">
        <v>14</v>
      </c>
      <c r="C23" s="2" t="s">
        <v>11</v>
      </c>
      <c r="D23" s="1">
        <v>1</v>
      </c>
      <c r="F23" s="10">
        <v>2</v>
      </c>
      <c r="G23" s="10">
        <v>2</v>
      </c>
      <c r="H23" s="10">
        <v>2</v>
      </c>
    </row>
    <row r="24" spans="2:8" ht="17" x14ac:dyDescent="0.2">
      <c r="B24" s="7">
        <v>15</v>
      </c>
      <c r="C24" s="2" t="s">
        <v>12</v>
      </c>
      <c r="D24" s="1">
        <v>31</v>
      </c>
      <c r="F24" s="10">
        <v>32</v>
      </c>
      <c r="G24" s="10">
        <v>32</v>
      </c>
      <c r="H24" s="10">
        <v>32</v>
      </c>
    </row>
    <row r="25" spans="2:8" ht="17" x14ac:dyDescent="0.2">
      <c r="B25" s="7">
        <v>16</v>
      </c>
      <c r="C25" s="2" t="s">
        <v>13</v>
      </c>
      <c r="D25" s="1" t="s">
        <v>14</v>
      </c>
      <c r="F25" s="10">
        <v>16</v>
      </c>
      <c r="G25" s="10">
        <v>16</v>
      </c>
      <c r="H25" s="10">
        <v>32</v>
      </c>
    </row>
    <row r="26" spans="2:8" ht="17" x14ac:dyDescent="0.2">
      <c r="B26" s="7">
        <v>17</v>
      </c>
      <c r="C26" s="2" t="s">
        <v>15</v>
      </c>
      <c r="F26" s="10">
        <v>826000</v>
      </c>
      <c r="G26" s="10">
        <v>450000</v>
      </c>
      <c r="H26" s="10">
        <v>924000</v>
      </c>
    </row>
    <row r="27" spans="2:8" x14ac:dyDescent="0.2">
      <c r="F27" s="10">
        <f>IF(F11,F20,"-")</f>
        <v>0</v>
      </c>
      <c r="G27" s="10">
        <v>6</v>
      </c>
      <c r="H27" s="10">
        <v>0</v>
      </c>
    </row>
    <row r="28" spans="2:8" x14ac:dyDescent="0.2">
      <c r="F28" s="10">
        <f>IF(F11,F21,"-")</f>
        <v>1000000</v>
      </c>
      <c r="G28" s="10">
        <f>IF(G11,G21,"-")</f>
        <v>2625000</v>
      </c>
      <c r="H28" s="10">
        <f>IF(H11,H21,"-")</f>
        <v>700000</v>
      </c>
    </row>
    <row r="29" spans="2:8" x14ac:dyDescent="0.2">
      <c r="F29" s="10">
        <f t="shared" ref="F29:H30" si="0">IF(F$11,F22,"-")</f>
        <v>4</v>
      </c>
      <c r="G29" s="10">
        <f t="shared" si="0"/>
        <v>4</v>
      </c>
      <c r="H29" s="10">
        <f t="shared" si="0"/>
        <v>4</v>
      </c>
    </row>
    <row r="30" spans="2:8" x14ac:dyDescent="0.2">
      <c r="F30" s="10">
        <f t="shared" si="0"/>
        <v>2</v>
      </c>
      <c r="G30" s="10">
        <f t="shared" si="0"/>
        <v>2</v>
      </c>
      <c r="H30" s="10">
        <f t="shared" si="0"/>
        <v>2</v>
      </c>
    </row>
    <row r="31" spans="2:8" x14ac:dyDescent="0.2">
      <c r="F31" s="10">
        <f>IF(F11,F24,"-")</f>
        <v>32</v>
      </c>
      <c r="G31" s="10">
        <f>IF(G11,G24,"-")</f>
        <v>32</v>
      </c>
      <c r="H31" s="10">
        <f>IF(H11,H24,"-")</f>
        <v>32</v>
      </c>
    </row>
    <row r="32" spans="2:8" x14ac:dyDescent="0.2">
      <c r="B32" s="7"/>
      <c r="F32" s="10">
        <f>IF(F11,F25,"-")</f>
        <v>16</v>
      </c>
      <c r="G32" s="10">
        <f>IF(G11,G25,"-")</f>
        <v>16</v>
      </c>
      <c r="H32" s="10">
        <f>IF(H11,H25,"-")</f>
        <v>32</v>
      </c>
    </row>
    <row r="33" spans="2:8" x14ac:dyDescent="0.2">
      <c r="F33" s="10">
        <f>IF(F11,F26,"-")</f>
        <v>826000</v>
      </c>
      <c r="G33" s="10">
        <f>IF(G11,G26,"-")</f>
        <v>450000</v>
      </c>
      <c r="H33" s="10">
        <f>IF(H11,H26,"-")</f>
        <v>924000</v>
      </c>
    </row>
    <row r="34" spans="2:8" ht="17" x14ac:dyDescent="0.2">
      <c r="B34" s="7">
        <v>18</v>
      </c>
      <c r="C34" s="2" t="s">
        <v>16</v>
      </c>
      <c r="E34">
        <v>6</v>
      </c>
      <c r="F34" s="10">
        <f>F20/MAX($F$27:$K$27)*$E$34*F11</f>
        <v>0</v>
      </c>
      <c r="G34" s="10">
        <f>G20/MAX($F$27:$K$27)*$E$34*G11</f>
        <v>6</v>
      </c>
      <c r="H34" s="10">
        <f>H20/MAX($F$27:$K$27)*$E$34*H11</f>
        <v>0</v>
      </c>
    </row>
    <row r="35" spans="2:8" ht="17" x14ac:dyDescent="0.2">
      <c r="B35" s="7">
        <v>19</v>
      </c>
      <c r="C35" s="2" t="s">
        <v>17</v>
      </c>
      <c r="D35" s="1"/>
      <c r="E35" s="1">
        <v>6</v>
      </c>
      <c r="F35" s="10">
        <f>F21/MAX($F$28:$K$28)*$E$35*F11</f>
        <v>2.2857142857142856</v>
      </c>
      <c r="G35" s="10">
        <f>G21/MAX($F$28:$K$28)*$E$35*G11</f>
        <v>6</v>
      </c>
      <c r="H35" s="10">
        <f>H21/MAX($F$28:$K$28)*$E$35*H11</f>
        <v>1.6</v>
      </c>
    </row>
    <row r="36" spans="2:8" ht="17" x14ac:dyDescent="0.2">
      <c r="B36" s="7">
        <v>20</v>
      </c>
      <c r="C36" s="2" t="s">
        <v>18</v>
      </c>
      <c r="D36" s="1"/>
      <c r="E36" s="1">
        <v>6</v>
      </c>
      <c r="F36" s="10">
        <f>F22/MAX($F$29:$K$29)*$E$36*F$11</f>
        <v>6</v>
      </c>
      <c r="G36" s="10">
        <f>G22/MAX($F$29:$K$29)*$E$36*G$11</f>
        <v>6</v>
      </c>
      <c r="H36" s="10">
        <f>H22/MAX($F$29:$K$29)*$E$36*H$11</f>
        <v>6</v>
      </c>
    </row>
    <row r="37" spans="2:8" ht="17" x14ac:dyDescent="0.2">
      <c r="B37" s="7">
        <v>21</v>
      </c>
      <c r="C37" s="2" t="s">
        <v>19</v>
      </c>
      <c r="D37" s="1"/>
      <c r="E37" s="1">
        <v>5</v>
      </c>
      <c r="F37" s="10">
        <f>F23/MAX($F$30:$K$30)*$E$37*F$11</f>
        <v>5</v>
      </c>
      <c r="G37" s="10">
        <f>G23/MAX($F$30:$K$30)*$E$37*G$11</f>
        <v>5</v>
      </c>
      <c r="H37" s="10">
        <f>H23/MAX($F$30:$K$30)*$E$37*H$11</f>
        <v>5</v>
      </c>
    </row>
    <row r="38" spans="2:8" x14ac:dyDescent="0.2">
      <c r="B38" s="7"/>
      <c r="C38" s="2"/>
      <c r="D38" s="1"/>
      <c r="E38" s="1">
        <v>5</v>
      </c>
      <c r="F38" s="10">
        <f>F24/MAX($F$31:$K$31)*$E$38*F11</f>
        <v>5</v>
      </c>
      <c r="G38" s="10">
        <f>G24/MAX($F$31:$K$31)*$E$38*G11</f>
        <v>5</v>
      </c>
      <c r="H38" s="10">
        <f>H24/MAX($F$31:$K$31)*$E$38*H11</f>
        <v>5</v>
      </c>
    </row>
    <row r="39" spans="2:8" ht="17" x14ac:dyDescent="0.2">
      <c r="B39" s="7">
        <v>22</v>
      </c>
      <c r="C39" s="2" t="s">
        <v>20</v>
      </c>
      <c r="D39" s="1"/>
      <c r="E39" s="1">
        <v>6</v>
      </c>
      <c r="F39" s="10">
        <f>F25/MAX($F$32:$K$32)*$E$39*F11</f>
        <v>3</v>
      </c>
      <c r="G39" s="10">
        <f>G25/MAX($F$32:$K$32)*$E$39*G11</f>
        <v>3</v>
      </c>
      <c r="H39" s="10">
        <f>H25/MAX($F$32:$K$32)*$E$39*H11</f>
        <v>6</v>
      </c>
    </row>
    <row r="40" spans="2:8" ht="17" x14ac:dyDescent="0.2">
      <c r="B40" s="7">
        <v>23</v>
      </c>
      <c r="C40" s="2" t="s">
        <v>21</v>
      </c>
      <c r="D40" s="1"/>
      <c r="E40" s="1">
        <v>6</v>
      </c>
      <c r="F40" s="10">
        <f>F26/MAX($F$33:$K$33)*$E$40*F11</f>
        <v>5.3636363636363633</v>
      </c>
      <c r="G40" s="10">
        <f>G26/MAX($F$33:$K$33)*$E$40*G11</f>
        <v>2.9220779220779223</v>
      </c>
      <c r="H40" s="10">
        <f>H26/MAX($F$33:$K$33)*$E$40*H11</f>
        <v>6</v>
      </c>
    </row>
    <row r="41" spans="2:8" ht="17" x14ac:dyDescent="0.2">
      <c r="B41" s="7">
        <v>24</v>
      </c>
      <c r="C41" s="2" t="s">
        <v>22</v>
      </c>
      <c r="D41" s="1"/>
      <c r="E41" s="1">
        <f>SUM(E34:E40)</f>
        <v>40</v>
      </c>
      <c r="F41" s="10">
        <f>SUM(F34:F40)</f>
        <v>26.649350649350648</v>
      </c>
      <c r="G41" s="10">
        <f>SUM(G34:G40)</f>
        <v>33.922077922077925</v>
      </c>
      <c r="H41" s="10">
        <f>SUM(H34:H40)</f>
        <v>29.6</v>
      </c>
    </row>
    <row r="42" spans="2:8" ht="17" x14ac:dyDescent="0.2">
      <c r="B42" s="7">
        <v>25</v>
      </c>
      <c r="C42" s="2" t="s">
        <v>23</v>
      </c>
      <c r="D42" s="1"/>
      <c r="E42" s="1"/>
    </row>
    <row r="43" spans="2:8" x14ac:dyDescent="0.2">
      <c r="B43" s="7"/>
      <c r="C43" s="2"/>
      <c r="D43" s="1"/>
      <c r="E43" s="1"/>
    </row>
    <row r="44" spans="2:8" x14ac:dyDescent="0.2">
      <c r="B44" s="7"/>
      <c r="C44" s="2"/>
      <c r="D44" s="1"/>
      <c r="E44" s="1"/>
      <c r="F44" s="10">
        <v>0</v>
      </c>
      <c r="G44" s="10">
        <v>0</v>
      </c>
      <c r="H44" s="10">
        <v>0</v>
      </c>
    </row>
    <row r="45" spans="2:8" ht="17" x14ac:dyDescent="0.2">
      <c r="B45" s="7">
        <v>26</v>
      </c>
      <c r="C45" s="2" t="s">
        <v>24</v>
      </c>
      <c r="D45" s="1"/>
      <c r="E45" s="1"/>
      <c r="F45" s="10">
        <f>IF(F$11,F44,0)</f>
        <v>0</v>
      </c>
      <c r="G45" s="10">
        <f>IF(G$11,G44,0)</f>
        <v>0</v>
      </c>
      <c r="H45" s="10">
        <f>IF(H$11,H44,0)</f>
        <v>0</v>
      </c>
    </row>
    <row r="46" spans="2:8" ht="17" x14ac:dyDescent="0.2">
      <c r="B46" s="7">
        <v>27</v>
      </c>
      <c r="C46" s="2" t="s">
        <v>25</v>
      </c>
      <c r="D46" s="1"/>
      <c r="E46" s="1"/>
    </row>
    <row r="47" spans="2:8" x14ac:dyDescent="0.2">
      <c r="D47" s="1"/>
      <c r="E47" s="1"/>
    </row>
    <row r="48" spans="2:8" ht="17" x14ac:dyDescent="0.2">
      <c r="B48" s="7">
        <v>28</v>
      </c>
      <c r="C48" s="2" t="s">
        <v>26</v>
      </c>
      <c r="D48" s="1"/>
      <c r="E48" s="1">
        <v>1</v>
      </c>
      <c r="F48" s="10">
        <v>1</v>
      </c>
      <c r="G48" s="10">
        <v>1</v>
      </c>
      <c r="H48" s="10">
        <v>0</v>
      </c>
    </row>
    <row r="49" spans="2:8" ht="17" x14ac:dyDescent="0.2">
      <c r="B49" s="7">
        <v>29</v>
      </c>
      <c r="C49" s="2" t="s">
        <v>27</v>
      </c>
      <c r="D49" s="1"/>
      <c r="E49" s="1">
        <v>1</v>
      </c>
      <c r="F49" s="10">
        <v>1</v>
      </c>
      <c r="G49" s="10">
        <v>1</v>
      </c>
      <c r="H49" s="10">
        <v>1</v>
      </c>
    </row>
    <row r="50" spans="2:8" ht="17" x14ac:dyDescent="0.2">
      <c r="B50" s="7">
        <v>30</v>
      </c>
      <c r="C50" s="2" t="s">
        <v>28</v>
      </c>
      <c r="D50" s="1"/>
      <c r="E50">
        <v>1</v>
      </c>
      <c r="F50" s="10">
        <v>1</v>
      </c>
      <c r="G50" s="10">
        <v>1</v>
      </c>
      <c r="H50" s="10">
        <v>1</v>
      </c>
    </row>
    <row r="51" spans="2:8" ht="17" x14ac:dyDescent="0.2">
      <c r="B51" s="7">
        <v>31</v>
      </c>
      <c r="C51" s="2" t="s">
        <v>29</v>
      </c>
      <c r="D51" s="1">
        <v>450000</v>
      </c>
      <c r="E51" s="1">
        <v>1</v>
      </c>
      <c r="F51" s="10">
        <v>1</v>
      </c>
      <c r="G51" s="10">
        <v>1</v>
      </c>
      <c r="H51" s="10">
        <v>1</v>
      </c>
    </row>
    <row r="52" spans="2:8" ht="17" x14ac:dyDescent="0.2">
      <c r="B52" s="7">
        <v>32</v>
      </c>
      <c r="C52" s="2" t="s">
        <v>30</v>
      </c>
      <c r="D52" s="1" t="s">
        <v>10</v>
      </c>
      <c r="E52" s="1">
        <v>1</v>
      </c>
      <c r="F52" s="10">
        <v>1</v>
      </c>
      <c r="G52" s="10">
        <v>1</v>
      </c>
      <c r="H52" s="10">
        <v>1</v>
      </c>
    </row>
    <row r="53" spans="2:8" ht="17" x14ac:dyDescent="0.2">
      <c r="B53" s="7">
        <v>33</v>
      </c>
      <c r="C53" s="2" t="s">
        <v>31</v>
      </c>
      <c r="D53" s="1" t="s">
        <v>32</v>
      </c>
      <c r="E53" s="1">
        <v>1</v>
      </c>
      <c r="F53" s="10">
        <v>1</v>
      </c>
      <c r="G53" s="10">
        <v>1</v>
      </c>
      <c r="H53" s="10">
        <v>1</v>
      </c>
    </row>
    <row r="54" spans="2:8" ht="17" x14ac:dyDescent="0.2">
      <c r="B54" s="7">
        <v>34</v>
      </c>
      <c r="C54" s="2" t="s">
        <v>33</v>
      </c>
      <c r="D54" s="1" t="s">
        <v>10</v>
      </c>
      <c r="E54" s="1">
        <v>1</v>
      </c>
      <c r="F54" s="10">
        <v>0</v>
      </c>
      <c r="G54" s="10">
        <v>1</v>
      </c>
      <c r="H54" s="10">
        <v>1</v>
      </c>
    </row>
    <row r="55" spans="2:8" ht="17" x14ac:dyDescent="0.2">
      <c r="B55" s="7">
        <v>35</v>
      </c>
      <c r="C55" s="2" t="s">
        <v>34</v>
      </c>
      <c r="D55" s="1" t="s">
        <v>35</v>
      </c>
      <c r="E55" s="1">
        <v>1</v>
      </c>
      <c r="F55" s="10">
        <v>1</v>
      </c>
      <c r="G55" s="10">
        <v>1</v>
      </c>
      <c r="H55" s="10">
        <v>1</v>
      </c>
    </row>
    <row r="56" spans="2:8" ht="17" x14ac:dyDescent="0.2">
      <c r="B56" s="7">
        <v>36</v>
      </c>
      <c r="C56" s="2" t="s">
        <v>36</v>
      </c>
      <c r="D56" s="1" t="s">
        <v>10</v>
      </c>
      <c r="E56" s="1">
        <v>1</v>
      </c>
      <c r="F56" s="10">
        <v>1</v>
      </c>
      <c r="G56" s="10">
        <v>1</v>
      </c>
      <c r="H56" s="10">
        <v>1</v>
      </c>
    </row>
    <row r="57" spans="2:8" ht="17" x14ac:dyDescent="0.2">
      <c r="B57" s="7">
        <v>37</v>
      </c>
      <c r="C57" s="2" t="s">
        <v>37</v>
      </c>
      <c r="D57" s="1" t="s">
        <v>10</v>
      </c>
      <c r="E57" s="1">
        <v>1</v>
      </c>
      <c r="F57" s="10">
        <v>1</v>
      </c>
      <c r="G57" s="10">
        <v>1</v>
      </c>
      <c r="H57" s="10">
        <v>1</v>
      </c>
    </row>
    <row r="58" spans="2:8" ht="17" x14ac:dyDescent="0.2">
      <c r="B58" s="7">
        <v>38</v>
      </c>
      <c r="C58" s="2" t="s">
        <v>38</v>
      </c>
      <c r="D58" s="1"/>
      <c r="E58" s="1">
        <v>1</v>
      </c>
      <c r="F58" s="11">
        <f t="shared" ref="F58" si="1">IF(F$11,F48,0)</f>
        <v>1</v>
      </c>
      <c r="G58" s="11">
        <f t="shared" ref="G58" si="2">IF(G$11,G48,0)</f>
        <v>1</v>
      </c>
      <c r="H58" s="11">
        <f t="shared" ref="H58" si="3">IF(H$11,H48,0)</f>
        <v>0</v>
      </c>
    </row>
    <row r="59" spans="2:8" ht="17" x14ac:dyDescent="0.2">
      <c r="B59" s="7">
        <v>39</v>
      </c>
      <c r="C59" s="2" t="s">
        <v>39</v>
      </c>
      <c r="D59" s="1"/>
      <c r="E59" s="1">
        <v>1</v>
      </c>
      <c r="F59" s="11">
        <f t="shared" ref="F59" si="4">IF(F$11,F49,0)</f>
        <v>1</v>
      </c>
      <c r="G59" s="11">
        <f t="shared" ref="G59" si="5">IF(G$11,G49,0)</f>
        <v>1</v>
      </c>
      <c r="H59" s="11">
        <f t="shared" ref="H59:H64" si="6">IF(H$11,H49,0)</f>
        <v>1</v>
      </c>
    </row>
    <row r="60" spans="2:8" ht="17" x14ac:dyDescent="0.2">
      <c r="B60" s="7">
        <v>40</v>
      </c>
      <c r="C60" s="2" t="s">
        <v>40</v>
      </c>
      <c r="D60" s="1"/>
      <c r="E60" s="1">
        <v>1</v>
      </c>
      <c r="F60" s="11">
        <f t="shared" ref="F60" si="7">IF(F$11,F50,0)</f>
        <v>1</v>
      </c>
      <c r="G60" s="11">
        <f t="shared" ref="G60" si="8">IF(G$11,G50,0)</f>
        <v>1</v>
      </c>
      <c r="H60" s="11">
        <f t="shared" si="6"/>
        <v>1</v>
      </c>
    </row>
    <row r="61" spans="2:8" ht="17" x14ac:dyDescent="0.2">
      <c r="B61" s="7">
        <v>41</v>
      </c>
      <c r="C61" s="2" t="s">
        <v>41</v>
      </c>
      <c r="D61" s="1"/>
      <c r="E61" s="1">
        <v>1</v>
      </c>
      <c r="F61" s="11">
        <f t="shared" ref="F61" si="9">IF(F$11,F51,0)</f>
        <v>1</v>
      </c>
      <c r="G61" s="11">
        <f t="shared" ref="G61" si="10">IF(G$11,G51,0)</f>
        <v>1</v>
      </c>
      <c r="H61" s="11">
        <f t="shared" si="6"/>
        <v>1</v>
      </c>
    </row>
    <row r="62" spans="2:8" ht="17" x14ac:dyDescent="0.2">
      <c r="B62" s="7">
        <v>42</v>
      </c>
      <c r="C62" s="2" t="s">
        <v>42</v>
      </c>
      <c r="D62" s="1"/>
      <c r="E62" s="1">
        <v>1</v>
      </c>
      <c r="F62" s="11">
        <f t="shared" ref="F62" si="11">IF(F$11,F52,0)</f>
        <v>1</v>
      </c>
      <c r="G62" s="11">
        <f t="shared" ref="G62" si="12">IF(G$11,G52,0)</f>
        <v>1</v>
      </c>
      <c r="H62" s="11">
        <f t="shared" si="6"/>
        <v>1</v>
      </c>
    </row>
    <row r="63" spans="2:8" ht="17" x14ac:dyDescent="0.2">
      <c r="B63" s="7">
        <v>43</v>
      </c>
      <c r="C63" s="2" t="s">
        <v>43</v>
      </c>
      <c r="D63" s="1"/>
      <c r="E63" s="1">
        <v>1</v>
      </c>
      <c r="F63" s="11">
        <f t="shared" ref="F63" si="13">IF(F$11,F53,0)</f>
        <v>1</v>
      </c>
      <c r="G63" s="11">
        <f t="shared" ref="G63" si="14">IF(G$11,G53,0)</f>
        <v>1</v>
      </c>
      <c r="H63" s="11">
        <f t="shared" si="6"/>
        <v>1</v>
      </c>
    </row>
    <row r="64" spans="2:8" ht="17" x14ac:dyDescent="0.2">
      <c r="B64" s="7">
        <v>44</v>
      </c>
      <c r="C64" s="2" t="s">
        <v>44</v>
      </c>
      <c r="D64" s="1"/>
      <c r="E64" s="1">
        <v>1</v>
      </c>
      <c r="F64" s="11">
        <f t="shared" ref="F64" si="15">IF(F$11,F54,0)</f>
        <v>0</v>
      </c>
      <c r="G64" s="11">
        <f t="shared" ref="G64" si="16">IF(G$11,G54,0)</f>
        <v>1</v>
      </c>
      <c r="H64" s="11">
        <f t="shared" si="6"/>
        <v>1</v>
      </c>
    </row>
    <row r="65" spans="2:8" ht="17" x14ac:dyDescent="0.2">
      <c r="B65" s="7">
        <v>45</v>
      </c>
      <c r="C65" s="2" t="s">
        <v>45</v>
      </c>
      <c r="E65" s="1">
        <v>1</v>
      </c>
      <c r="F65" s="11">
        <f t="shared" ref="F65:H66" si="17">IF(F$11,F55,0)</f>
        <v>1</v>
      </c>
      <c r="G65" s="11">
        <f t="shared" si="17"/>
        <v>1</v>
      </c>
      <c r="H65" s="11">
        <f t="shared" si="17"/>
        <v>1</v>
      </c>
    </row>
    <row r="66" spans="2:8" ht="17" x14ac:dyDescent="0.2">
      <c r="B66" s="7">
        <v>46</v>
      </c>
      <c r="C66" s="2" t="s">
        <v>46</v>
      </c>
      <c r="E66" s="1">
        <v>1</v>
      </c>
      <c r="F66" s="11">
        <f t="shared" si="17"/>
        <v>1</v>
      </c>
      <c r="G66" s="11">
        <f t="shared" si="17"/>
        <v>1</v>
      </c>
      <c r="H66" s="11">
        <f t="shared" si="17"/>
        <v>1</v>
      </c>
    </row>
    <row r="67" spans="2:8" ht="17" x14ac:dyDescent="0.2">
      <c r="B67" s="7">
        <v>47</v>
      </c>
      <c r="C67" s="2" t="s">
        <v>47</v>
      </c>
      <c r="E67" s="1">
        <v>1</v>
      </c>
      <c r="F67" s="11">
        <f>IF(F$11,F66,0)</f>
        <v>1</v>
      </c>
      <c r="G67" s="11">
        <f>IF(G$11,G66,0)</f>
        <v>1</v>
      </c>
      <c r="H67" s="11">
        <f>IF(H$11,H66,0)</f>
        <v>1</v>
      </c>
    </row>
    <row r="68" spans="2:8" ht="17" x14ac:dyDescent="0.2">
      <c r="B68" s="7">
        <v>48</v>
      </c>
      <c r="C68" s="2" t="s">
        <v>48</v>
      </c>
      <c r="E68" s="1">
        <f>SUM(E58:E67)</f>
        <v>10</v>
      </c>
      <c r="F68" s="10">
        <f>SUM(F58:F67)</f>
        <v>9</v>
      </c>
      <c r="G68" s="10">
        <f>SUM(G58:G67)</f>
        <v>10</v>
      </c>
      <c r="H68" s="10">
        <f>SUM(H58:H67)</f>
        <v>9</v>
      </c>
    </row>
    <row r="71" spans="2:8" ht="17" x14ac:dyDescent="0.2">
      <c r="C71" s="8" t="s">
        <v>58</v>
      </c>
      <c r="F71" s="12">
        <f>SUM(F17,F41,F45,F68)</f>
        <v>75.649350649350652</v>
      </c>
      <c r="G71" s="12">
        <f>SUM(G17,G41,G45,G68)</f>
        <v>63.922077922077925</v>
      </c>
      <c r="H71" s="12">
        <f>SUM(H17,H41,H45,H68)</f>
        <v>45.266666666666666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2026-03-10T12:18:46Z</dcterms:created>
  <dcterms:modified xsi:type="dcterms:W3CDTF">2026-06-26T15:53:52Z</dcterms:modified>
</cp:coreProperties>
</file>